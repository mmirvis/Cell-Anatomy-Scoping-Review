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\Documents\Shared folder\Evidence Synthesis\Scoping Review\Manuscript\Files for Submission\"/>
    </mc:Choice>
  </mc:AlternateContent>
  <xr:revisionPtr revIDLastSave="0" documentId="13_ncr:1_{77972993-80E0-4D44-A089-B104E0064510}" xr6:coauthVersionLast="47" xr6:coauthVersionMax="47" xr10:uidLastSave="{00000000-0000-0000-0000-000000000000}"/>
  <bookViews>
    <workbookView xWindow="2505" yWindow="0" windowWidth="20100" windowHeight="15570" firstSheet="2" activeTab="2" xr2:uid="{B686A32D-B738-45B0-A5AA-E979F894AE0F}"/>
  </bookViews>
  <sheets>
    <sheet name="Fig2 Data" sheetId="5" r:id="rId1"/>
    <sheet name="FigS1 Data" sheetId="12" r:id="rId2"/>
    <sheet name="Datasets_Mod_Cell_SS" sheetId="9" r:id="rId3"/>
    <sheet name="Fig3A Data" sheetId="7" r:id="rId4"/>
    <sheet name="Fig3B Data" sheetId="10" r:id="rId5"/>
    <sheet name="Fig4 Data" sheetId="13" r:id="rId6"/>
    <sheet name="Table 1. " sheetId="11" r:id="rId7"/>
    <sheet name="Datasets_Organelles" sheetId="15" r:id="rId8"/>
    <sheet name="Fig5AC Data" sheetId="8" r:id="rId9"/>
    <sheet name="Fig5B Data" sheetId="20" r:id="rId10"/>
    <sheet name="QuantAnalysis_Comparators" sheetId="17" r:id="rId11"/>
    <sheet name="Fig6A Data" sheetId="6" r:id="rId12"/>
    <sheet name="Fig6B Data" sheetId="18" r:id="rId13"/>
  </sheets>
  <calcPr calcId="191029"/>
</workbook>
</file>

<file path=xl/calcChain.xml><?xml version="1.0" encoding="utf-8"?>
<calcChain xmlns="http://schemas.openxmlformats.org/spreadsheetml/2006/main">
  <c r="C3" i="18" l="1"/>
  <c r="C4" i="18"/>
  <c r="C5" i="18"/>
  <c r="C6" i="18"/>
  <c r="C7" i="18"/>
  <c r="C8" i="18"/>
  <c r="C9" i="18"/>
  <c r="C10" i="18"/>
  <c r="C11" i="18"/>
  <c r="C12" i="18"/>
  <c r="C13" i="18"/>
  <c r="C15" i="18"/>
  <c r="C2" i="18"/>
  <c r="B15" i="18"/>
  <c r="C3" i="6"/>
  <c r="C4" i="6"/>
  <c r="C5" i="6"/>
  <c r="C6" i="6"/>
  <c r="C7" i="6"/>
  <c r="C8" i="6"/>
  <c r="C9" i="6"/>
  <c r="C10" i="6"/>
  <c r="C11" i="6"/>
  <c r="C12" i="6"/>
  <c r="C13" i="6"/>
  <c r="C14" i="6"/>
  <c r="C2" i="6"/>
  <c r="B17" i="6"/>
  <c r="B16" i="6"/>
  <c r="V16" i="8"/>
  <c r="V15" i="8"/>
  <c r="V14" i="8"/>
  <c r="V13" i="8"/>
  <c r="V12" i="8"/>
  <c r="V11" i="8"/>
  <c r="V10" i="8"/>
  <c r="V9" i="8"/>
  <c r="V8" i="8"/>
  <c r="V7" i="8"/>
  <c r="V6" i="8"/>
  <c r="V5" i="8"/>
  <c r="V4" i="8"/>
  <c r="V3" i="8"/>
  <c r="V2" i="8"/>
  <c r="K4" i="13"/>
  <c r="K2" i="13"/>
  <c r="O3" i="5"/>
  <c r="L6" i="5"/>
  <c r="M6" i="5"/>
  <c r="M2" i="5"/>
  <c r="N3" i="5"/>
  <c r="L3" i="5"/>
  <c r="U4" i="10"/>
  <c r="U3" i="10"/>
  <c r="T3" i="10"/>
  <c r="T4" i="10"/>
  <c r="T2" i="10"/>
  <c r="U2" i="10"/>
  <c r="K2" i="7"/>
  <c r="L4" i="7"/>
  <c r="L3" i="7"/>
  <c r="K4" i="7"/>
  <c r="K3" i="7"/>
  <c r="B13" i="18" l="1"/>
  <c r="S18" i="15"/>
  <c r="S70" i="15"/>
  <c r="S19" i="15"/>
  <c r="S21" i="15"/>
  <c r="S20" i="15"/>
  <c r="S107" i="15"/>
  <c r="S39" i="15"/>
  <c r="S36" i="15"/>
  <c r="S24" i="15"/>
  <c r="S51" i="15"/>
  <c r="S8" i="15"/>
  <c r="S7" i="15"/>
  <c r="S6" i="15"/>
  <c r="S35" i="15"/>
  <c r="S88" i="15"/>
  <c r="S87" i="15"/>
  <c r="S83" i="15"/>
  <c r="S89" i="15"/>
  <c r="S25" i="15"/>
  <c r="S26" i="15"/>
  <c r="S50" i="15"/>
  <c r="S44" i="15"/>
  <c r="S45" i="15"/>
  <c r="S13" i="15"/>
  <c r="S33" i="15"/>
  <c r="S62" i="15"/>
  <c r="S64" i="15"/>
  <c r="S66" i="15"/>
  <c r="S65" i="15"/>
  <c r="S60" i="15"/>
  <c r="S63" i="15"/>
  <c r="S61" i="15"/>
  <c r="S99" i="15"/>
  <c r="S38" i="15"/>
  <c r="S43" i="15"/>
  <c r="S14" i="15"/>
  <c r="S32" i="15"/>
  <c r="S59" i="15"/>
  <c r="S57" i="15"/>
  <c r="S29" i="15"/>
  <c r="S117" i="15"/>
  <c r="S116" i="15"/>
  <c r="S119" i="15"/>
  <c r="S23" i="15"/>
  <c r="S69" i="15"/>
  <c r="S120" i="15"/>
  <c r="S17" i="15"/>
  <c r="S109" i="15"/>
  <c r="S100" i="15"/>
  <c r="S52" i="15"/>
  <c r="S81" i="15"/>
  <c r="S82" i="15"/>
  <c r="S110" i="15"/>
  <c r="S74" i="15"/>
  <c r="S27" i="15"/>
  <c r="S95" i="15"/>
  <c r="S15" i="15"/>
  <c r="S68" i="15"/>
  <c r="S22" i="15"/>
  <c r="S93" i="15"/>
  <c r="S105" i="15"/>
  <c r="S104" i="15"/>
  <c r="S118" i="15"/>
  <c r="S76" i="15"/>
  <c r="S54" i="15"/>
  <c r="S53" i="15"/>
  <c r="S48" i="15"/>
  <c r="S49" i="15"/>
  <c r="S46" i="15"/>
  <c r="S47" i="15"/>
  <c r="S42" i="15"/>
  <c r="S75" i="15"/>
  <c r="S3" i="15"/>
  <c r="S9" i="15"/>
  <c r="S73" i="15"/>
  <c r="S113" i="15"/>
  <c r="S72" i="15"/>
  <c r="S111" i="15"/>
  <c r="S108" i="15"/>
  <c r="S106" i="15"/>
  <c r="S37" i="15"/>
  <c r="S86" i="15"/>
  <c r="S12" i="15"/>
  <c r="S16" i="15"/>
  <c r="S31" i="15"/>
  <c r="S80" i="15"/>
  <c r="S85" i="15"/>
  <c r="S10" i="15"/>
  <c r="S97" i="15"/>
  <c r="S114" i="15"/>
  <c r="S58" i="15"/>
  <c r="S4" i="15"/>
  <c r="S30" i="15"/>
  <c r="S56" i="15"/>
  <c r="S90" i="15"/>
  <c r="S91" i="15"/>
  <c r="S11" i="15"/>
  <c r="S103" i="15"/>
  <c r="S34" i="15"/>
  <c r="S102" i="15"/>
  <c r="S67" i="15"/>
  <c r="S78" i="15"/>
  <c r="S77" i="15"/>
  <c r="S115" i="15"/>
  <c r="S28" i="15"/>
  <c r="S98" i="15"/>
  <c r="S41" i="15"/>
  <c r="S5" i="15"/>
  <c r="S92" i="15"/>
  <c r="S96" i="15"/>
  <c r="S112" i="15"/>
  <c r="S84" i="15"/>
  <c r="S71" i="15"/>
  <c r="S94" i="15"/>
  <c r="S101" i="15"/>
  <c r="S55" i="15"/>
  <c r="S79" i="15"/>
  <c r="S40" i="15"/>
  <c r="H14" i="7"/>
  <c r="H13" i="7"/>
  <c r="H12" i="7"/>
  <c r="H11" i="7"/>
  <c r="H10" i="7"/>
  <c r="H8" i="7"/>
  <c r="H6" i="7"/>
  <c r="H5" i="7"/>
  <c r="H4" i="7"/>
  <c r="H3" i="7"/>
  <c r="H2" i="7"/>
  <c r="I43" i="10"/>
  <c r="H43" i="10"/>
  <c r="G43" i="10"/>
  <c r="F43" i="10"/>
  <c r="I14" i="10"/>
  <c r="H14" i="10"/>
  <c r="G14" i="10"/>
  <c r="F14" i="10"/>
  <c r="AB10" i="10"/>
  <c r="AB9" i="10"/>
  <c r="I33" i="10"/>
  <c r="H33" i="10"/>
  <c r="I50" i="10"/>
  <c r="H50" i="10"/>
  <c r="G50" i="10"/>
  <c r="I49" i="10"/>
  <c r="H49" i="10"/>
  <c r="G49" i="10"/>
  <c r="G75" i="10"/>
  <c r="F75" i="10"/>
  <c r="G4" i="10"/>
  <c r="F4" i="10"/>
  <c r="I55" i="10"/>
  <c r="H55" i="10"/>
  <c r="AC7" i="10"/>
  <c r="AB7" i="10"/>
  <c r="I84" i="10"/>
  <c r="H84" i="10"/>
  <c r="G84" i="10"/>
  <c r="F84" i="10"/>
  <c r="H83" i="10"/>
  <c r="F83" i="10"/>
  <c r="H82" i="10"/>
  <c r="F82" i="10"/>
  <c r="L2" i="7" l="1"/>
</calcChain>
</file>

<file path=xl/sharedStrings.xml><?xml version="1.0" encoding="utf-8"?>
<sst xmlns="http://schemas.openxmlformats.org/spreadsheetml/2006/main" count="5266" uniqueCount="1042">
  <si>
    <t>Study ID</t>
  </si>
  <si>
    <t>Imaging Modality</t>
  </si>
  <si>
    <t>Sample Size Number</t>
  </si>
  <si>
    <t>Sample Size Notes</t>
  </si>
  <si>
    <t>McQuate 2023</t>
  </si>
  <si>
    <t>Research Article</t>
  </si>
  <si>
    <t>SBF-SEM</t>
  </si>
  <si>
    <t>12 3dpf (12 w kinocilia, 10 w stereocilia), 65 5-6dpf HC (inc cilia); 19 cdh23 cells; 45 cav1.3a cells - only counted the ones for which multiple organelles are segmented/analyzed (cilia), according to figure legends</t>
  </si>
  <si>
    <t>Volume; Volume fraction; Dimensions; Count/#; Other: size scaling (org:cell, org:org)</t>
  </si>
  <si>
    <t>Cell Type/Species; Other: development (young vs mature)</t>
  </si>
  <si>
    <t>Mirasole 2023</t>
  </si>
  <si>
    <t>Fluorescence</t>
  </si>
  <si>
    <t>Plant</t>
  </si>
  <si>
    <t>Nucleus; Vacuole/Lysosome; Chloroplast/Plastid</t>
  </si>
  <si>
    <t>Volume; Volume fraction; Shape</t>
  </si>
  <si>
    <t>Stressors; Other: osmo/ion flux</t>
  </si>
  <si>
    <t>Wang 2023</t>
  </si>
  <si>
    <t>Technical Article</t>
  </si>
  <si>
    <t>10 cells per 4 cell lines per 2 culture conditions</t>
  </si>
  <si>
    <t>Human</t>
  </si>
  <si>
    <t>Volume; Volume fraction; Dimensions; Count/#; Surface Area; Positioning/Distance; Contacts/Associations; Shape</t>
  </si>
  <si>
    <t>Cell Type/Species; Methodology</t>
  </si>
  <si>
    <t>Koutsogiannis 2023</t>
  </si>
  <si>
    <t>1 WT, 2 cerS1 mutant</t>
  </si>
  <si>
    <t>Toxoplasma gondii</t>
  </si>
  <si>
    <t>Volume; Surface Area; Other: RI</t>
  </si>
  <si>
    <t>Cell Type/Species</t>
  </si>
  <si>
    <t>Cho 2023</t>
  </si>
  <si>
    <t>(nucleus + autophagosome, Fig 5C, originally thought we'd include Fig 7 but cells appear to be cut off)</t>
  </si>
  <si>
    <t>HeLa</t>
  </si>
  <si>
    <t>Nucleus; Autophagosome</t>
  </si>
  <si>
    <t>Other: RI</t>
  </si>
  <si>
    <t>Feng 2023</t>
  </si>
  <si>
    <t>Bianco 2023</t>
  </si>
  <si>
    <t>0.5 (?)</t>
  </si>
  <si>
    <t>Yeast</t>
  </si>
  <si>
    <t>Saccharomyces cerevisiae</t>
  </si>
  <si>
    <t>Volume; Volume fraction; Dimensions; Surface Area; Positioning/Distance; Contacts/Associations; Density; Shape; Other: size scaling, RI</t>
  </si>
  <si>
    <t>Cell Cycle</t>
  </si>
  <si>
    <t>Ezzedine 2023</t>
  </si>
  <si>
    <t>FIB-SEM</t>
  </si>
  <si>
    <t>1 chemically fixed, 1 cryo-fixed</t>
  </si>
  <si>
    <t>Nucleus; Mitochondria; Lipid Droplets; Chloroplast/Plastid</t>
  </si>
  <si>
    <t>Volume; Volume fraction; Dimensions; Surface Area; Contacts/Associations</t>
  </si>
  <si>
    <t>Methodology</t>
  </si>
  <si>
    <t>Jadav 2023</t>
  </si>
  <si>
    <t>6+</t>
  </si>
  <si>
    <t>counting only 2-organelles (see Supp Table 1, total = 65), 1 monolayer + 5 mito/vesicles analysed (although we can't tell how many cells have which organelle combo; â€œVolumetric analyses of mitochondria for 30 intact cells in one whole tumorsphereâ€ mentioned in M&amp;M section 2.5</t>
  </si>
  <si>
    <t>Nucleus; Mitochondria; Vesicles</t>
  </si>
  <si>
    <t>Volume; Volume fraction; Count/#; Surface Area; Shape</t>
  </si>
  <si>
    <t>Cell Cycle; Methodology</t>
  </si>
  <si>
    <t>Matharu 2023</t>
  </si>
  <si>
    <t>63 including mito (606 total cell+AGl, 300 Ctrl, 306 COVID)</t>
  </si>
  <si>
    <t>Volume; Volume fraction; Count/#; Surface Area</t>
  </si>
  <si>
    <t>Stressors</t>
  </si>
  <si>
    <t>Kichuk 2024</t>
  </si>
  <si>
    <t>Volume; Volume fraction; Surface Area; Positioning/Distance; Contacts/Associations</t>
  </si>
  <si>
    <t>Metabolic State</t>
  </si>
  <si>
    <t>Dang 2023</t>
  </si>
  <si>
    <t>SXT</t>
  </si>
  <si>
    <t>40+</t>
  </si>
  <si>
    <t>Candida utilis</t>
  </si>
  <si>
    <t>Nucleus; Mitochondria; Vacuole/Lysosome; Lipid Droplets</t>
  </si>
  <si>
    <t>Volume; Volume fraction; Count/#; Density; Shape</t>
  </si>
  <si>
    <t>Mocaer 2023</t>
  </si>
  <si>
    <t>Volume; Volume fraction; Dimensions; Count/#</t>
  </si>
  <si>
    <t>Tashyreva 2023</t>
  </si>
  <si>
    <t>Dimensions; Positioning/Distance</t>
  </si>
  <si>
    <t>Antao 2023</t>
  </si>
  <si>
    <t>21+ E.i. ; 4 Vero</t>
  </si>
  <si>
    <t>Volume; Volume fraction; Dimensions; Contacts/Associations</t>
  </si>
  <si>
    <t>Other: Developmental stages</t>
  </si>
  <si>
    <t>Xu 2024</t>
  </si>
  <si>
    <t>6 ctrl + 6 AgNP-treated</t>
  </si>
  <si>
    <t>Chlamydomonas reinhartdii</t>
  </si>
  <si>
    <t>Volume; Volume fraction</t>
  </si>
  <si>
    <t>Hair 2024</t>
  </si>
  <si>
    <t>41 in vitro, 10 sand fly-derived</t>
  </si>
  <si>
    <t>Leishmania mexicana</t>
  </si>
  <si>
    <t>Volume; Volume fraction; Dimensions; Count/#; Surface Area; Density</t>
  </si>
  <si>
    <t>Cell Cycle; Other: Physiological relevance (in vitro vs sand fly-derived)</t>
  </si>
  <si>
    <t>Egebjerg 2024</t>
  </si>
  <si>
    <t>28 (14 WT, 6 Ncr1, 8 Npc2) - mentioned in M&amp;M - this seems to be for analysis. In results pg 12 - n=72 (WT 24, ncr1 30, npc2 18) - this seems to be total 3D renderings, of which the above n=28 is a subset.</t>
  </si>
  <si>
    <t>Vacuole/Lysosome; Lipid Droplets</t>
  </si>
  <si>
    <t>Volume; Count/#; Positioning/Distance; Contacts/Associations; Shape</t>
  </si>
  <si>
    <t>Deshmukh 2024</t>
  </si>
  <si>
    <t>8 alpha, 7 beta</t>
  </si>
  <si>
    <t>Rodent</t>
  </si>
  <si>
    <t>Hanssen 2010</t>
  </si>
  <si>
    <t>Plasmodium falciparum</t>
  </si>
  <si>
    <t>None</t>
  </si>
  <si>
    <t>Paredes-Santos 2012</t>
  </si>
  <si>
    <t>2 reconstructions stated, 1 full 3D model visualized</t>
  </si>
  <si>
    <t>Other: secretory organelles (microneme, rhoptry, dense granules), conoid</t>
  </si>
  <si>
    <t>Other: Vol, Vol%, SA (est from stereologic analysis)</t>
  </si>
  <si>
    <t>Girard-Dias 2012</t>
  </si>
  <si>
    <t>(M&amp;M mentions "35 tomograms (appox. 25 from epimastigotes and 10 from amastigotes and epimastigotes)"</t>
  </si>
  <si>
    <t>Trypanosoma cruzi</t>
  </si>
  <si>
    <t>Count/#</t>
  </si>
  <si>
    <t>Hanssen 2013</t>
  </si>
  <si>
    <t>49?</t>
  </si>
  <si>
    <t>Sakaguchi 2016</t>
  </si>
  <si>
    <t>22 iRBCs, as well as 10 non-iRBCs which don't count becase they don't have organelles</t>
  </si>
  <si>
    <t>Volume; Volume fraction; Surface Area; Other: volume scaling</t>
  </si>
  <si>
    <t>Other: developmental/life cycle stages</t>
  </si>
  <si>
    <t>Cui 2019</t>
  </si>
  <si>
    <t>1 whole cell w multiple organelles; 3 whole-cell vacuole only</t>
  </si>
  <si>
    <t>Volume; Volume fraction; Other: Vol:SA ratio</t>
  </si>
  <si>
    <t>Decelle 2021</t>
  </si>
  <si>
    <t>3 free-living, 4 symbiotic</t>
  </si>
  <si>
    <t>Volume; Volume fraction; Dimensions; Surface Area; Other: volume correlation/scaling (pyrenoid, plastid)</t>
  </si>
  <si>
    <t>9+</t>
  </si>
  <si>
    <t>3+ per growth stage; 20 imaged, 15 segmented, but 3 per stage chosen for reconstruction</t>
  </si>
  <si>
    <t>Volume; Volume fraction; Dimensions; Count/#; Surface Area; Positioning/Distance; Shape</t>
  </si>
  <si>
    <t>Ferreira 2008</t>
  </si>
  <si>
    <t>ssTEM</t>
  </si>
  <si>
    <t>?</t>
  </si>
  <si>
    <t>Parkinson 2008</t>
  </si>
  <si>
    <t>1 early cc, 1 pre-division, 1 mother &amp; 1 daughter (attached)</t>
  </si>
  <si>
    <t>Schizosaccharomyces pombe</t>
  </si>
  <si>
    <t>Heymann 2009</t>
  </si>
  <si>
    <t>Volume; Volume fraction; Surface Area; Density; Shape</t>
  </si>
  <si>
    <t>Hohmann-Marriott 2009</t>
  </si>
  <si>
    <t>Motta 2010</t>
  </si>
  <si>
    <t>"The description of events and timings in the C. deanei cell cycle were based on counts of 1000 cells."</t>
  </si>
  <si>
    <t>Murphy 2011</t>
  </si>
  <si>
    <t>T cell</t>
  </si>
  <si>
    <t>Nucleus; Mitochondria</t>
  </si>
  <si>
    <t>Medeiros 2012</t>
  </si>
  <si>
    <t>10 quantified (Table 1); 1 or 2 whole cell images</t>
  </si>
  <si>
    <t>Wayama 2013</t>
  </si>
  <si>
    <t>1 coccoid cell, 1 cyst cell</t>
  </si>
  <si>
    <t>Metabolic State; Stressors</t>
  </si>
  <si>
    <t>Gluenz 2015</t>
  </si>
  <si>
    <t>Fig 9. original data</t>
  </si>
  <si>
    <t>Trypanosoma brucei</t>
  </si>
  <si>
    <t>Wacker 2015</t>
  </si>
  <si>
    <t>1 thymus, 1 cytotoxic t cell, 1 adrenal medulla neutrophil, 1 ea of unknown cell types (cogwheel and longer process)</t>
  </si>
  <si>
    <t>Rodriguez 2015</t>
  </si>
  <si>
    <t>X-ray diffraction</t>
  </si>
  <si>
    <t>Volume; Volume fraction; Dimensions; Density</t>
  </si>
  <si>
    <t>Diaz 2015</t>
  </si>
  <si>
    <t>3+</t>
  </si>
  <si>
    <t>not stated; 3 individual cells shown in Fig 4bce, but could count ~10 total between 4a/d, although we can't tell how many are whole</t>
  </si>
  <si>
    <t>Density; Other: electron density &amp; mass density</t>
  </si>
  <si>
    <t>Ota 2016</t>
  </si>
  <si>
    <t>1 per condition</t>
  </si>
  <si>
    <t>Parachlorella kessleri</t>
  </si>
  <si>
    <t>Cooper 2017</t>
  </si>
  <si>
    <t>2 full reconstructions; quants from 25 cells, only kinetoplasts segmented</t>
  </si>
  <si>
    <t>Volume; Dimensions; Surface Area</t>
  </si>
  <si>
    <t>Other: a large and a small epimastigote</t>
  </si>
  <si>
    <t>Oi 2017</t>
  </si>
  <si>
    <t>1 visible 3D reconstruction, 2 addtl in supp movies (chloroplast counts)</t>
  </si>
  <si>
    <t>Nucleus; Chloroplast/Plastid</t>
  </si>
  <si>
    <t>Volume; Volume fraction; Dimensions; Count/#; Surface Area</t>
  </si>
  <si>
    <t>Fogelqvist 2017</t>
  </si>
  <si>
    <t>Nucleus; Vacuole/Lysosome; Vesicles</t>
  </si>
  <si>
    <t>Dimensions</t>
  </si>
  <si>
    <t>Other: w/ and w/o interacting NK cells</t>
  </si>
  <si>
    <t>Yao 2018</t>
  </si>
  <si>
    <t>Nucleus; Vacuole/Lysosome</t>
  </si>
  <si>
    <t>Volume; Dimensions; Density; Shape</t>
  </si>
  <si>
    <t>Liu 2018</t>
  </si>
  <si>
    <t>1 of each cell type (see below); 3 time points for zebrafish neural progenitor</t>
  </si>
  <si>
    <t>Nucleus; ER; Mitochondria; Golgi</t>
  </si>
  <si>
    <t>Volume; Volume fraction; Surface Area; Positioning/Distance</t>
  </si>
  <si>
    <t>Cell Cycle; Cell Type/Species</t>
  </si>
  <si>
    <t>Decelle 2019</t>
  </si>
  <si>
    <t>8 symbiotic, 10 free-living; 2 representative cells shown</t>
  </si>
  <si>
    <t>Volume; Count/#; Surface Area</t>
  </si>
  <si>
    <t>Hoffman 2020</t>
  </si>
  <si>
    <t>NHP</t>
  </si>
  <si>
    <t>Umemura 2020</t>
  </si>
  <si>
    <t>Volume; Surface Area; Density; Shape; Other: concentration, RI, dry mass</t>
  </si>
  <si>
    <t>Conesa 2020</t>
  </si>
  <si>
    <t>Pokrovskaya 2021</t>
  </si>
  <si>
    <t>Volume; Volume fraction; Dimensions; Count/#; Other: organelle:cell volume scaling</t>
  </si>
  <si>
    <t>Volume; Volume fraction; Surface Area; Positioning/Distance; Contacts/Associations; Shape; Other: volume scaling (plastid/mito)</t>
  </si>
  <si>
    <t>Li 2022</t>
  </si>
  <si>
    <t>40 tomograms from SXT extended to 132. unsure if those original 40 are included in the 132. 3 for analysis</t>
  </si>
  <si>
    <t>Volume; Volume fraction; Count/#; Positioning/Distance; Density</t>
  </si>
  <si>
    <t>Loconte 2022</t>
  </si>
  <si>
    <t>56 cells</t>
  </si>
  <si>
    <t>Volume; Volume fraction; Count/#; Positioning/Distance; Contacts/Associations; Density; Other: crowding ("congestion index")</t>
  </si>
  <si>
    <t>Burrell 2022</t>
  </si>
  <si>
    <t>Volume; Volume fraction; Count/#</t>
  </si>
  <si>
    <t>Henderson 2007</t>
  </si>
  <si>
    <t>10 (6 best cells used for quantitation) (52 imaged total)</t>
  </si>
  <si>
    <t>Noske 2008</t>
  </si>
  <si>
    <t>Uchida 2009</t>
  </si>
  <si>
    <t>21 control, 11 peptoid 1, 10 peptoid 2</t>
  </si>
  <si>
    <t>Candida albicans</t>
  </si>
  <si>
    <t>Jiang 2010</t>
  </si>
  <si>
    <t>Yamaguchi 2011</t>
  </si>
  <si>
    <t>(3 G1, 3 early G1)</t>
  </si>
  <si>
    <t>S. cerevisiae</t>
  </si>
  <si>
    <t>Uchida 2011</t>
  </si>
  <si>
    <t>&gt;200</t>
  </si>
  <si>
    <t>Ramos 2011</t>
  </si>
  <si>
    <t>Zheng 2012</t>
  </si>
  <si>
    <t>HXT</t>
  </si>
  <si>
    <t>Mitochondria; Vacuole/Lysosome; Lipid Droplets</t>
  </si>
  <si>
    <t>Wei 2012</t>
  </si>
  <si>
    <t xml:space="preserve">3 cells, 1 at each res
</t>
  </si>
  <si>
    <t>Carlson 2013</t>
  </si>
  <si>
    <t>A yeast cell</t>
  </si>
  <si>
    <t>Niclis 2015</t>
  </si>
  <si>
    <t>12 hESC, 12 hABC</t>
  </si>
  <si>
    <t>(12 hESC and 12 hAEC imaged, but unclear if whole-cell. States that videos are available in elec supp material, but can't track it down online)</t>
  </si>
  <si>
    <t>Feng 2016</t>
  </si>
  <si>
    <t>Randomly selected spermatozoa</t>
  </si>
  <si>
    <t>Invertebrate</t>
  </si>
  <si>
    <t>Hughes 2017</t>
  </si>
  <si>
    <t>(different n's for each quant)</t>
  </si>
  <si>
    <t>Kelbauskas 2017</t>
  </si>
  <si>
    <t>1 K562, 1 J744A.1</t>
  </si>
  <si>
    <t>Okumura 2018</t>
  </si>
  <si>
    <t>1 G1 and 1 budding</t>
  </si>
  <si>
    <t>Deng 2018</t>
  </si>
  <si>
    <t>Laundon 2019</t>
  </si>
  <si>
    <t>5 choanocytes; 3 colonial s. rosetta cells; 3 single s. rosetta cells</t>
  </si>
  <si>
    <t>Rudlaff 2020</t>
  </si>
  <si>
    <t>Pollreisz 2020</t>
  </si>
  <si>
    <t>Wu 2020</t>
  </si>
  <si>
    <t xml:space="preserve">CACM: xy? 0.42um (z); FIBSEM: 39.19nm milling (z?), pixel size 12.56nm (xy); ssTEM ? </t>
  </si>
  <si>
    <t>White 2020</t>
  </si>
  <si>
    <t>8 x 5 conditions</t>
  </si>
  <si>
    <t>Nucleus; Mitochondria; Lipid Droplets; Vesicles</t>
  </si>
  <si>
    <t>3 low-glucose, 4 high-glucose</t>
  </si>
  <si>
    <t>3 cells per species</t>
  </si>
  <si>
    <t>Loconte 2021</t>
  </si>
  <si>
    <t>17 B cells (7 native, 10 fixed); 3ea uninfected HEK293T-ACE2; Calu-3, A549-ACE2 + 3 infected (24hpi) + addlt at 6hpi (17 total infected cells means 14 @ 6hpi across 3 cell lines)</t>
  </si>
  <si>
    <t>Zechmann 2022</t>
  </si>
  <si>
    <t>2 reconstructions (1 pumpkin, 1 tobacco), 9-396 for volumetric data</t>
  </si>
  <si>
    <t>Nucleus; Mitochondria; Vacuole/Lysosome; Chloroplast/Plastid; Peroxisome</t>
  </si>
  <si>
    <t>Johkura 2022</t>
  </si>
  <si>
    <t>8 fully reconstructed</t>
  </si>
  <si>
    <t>4 single-nuc, 4 binuc</t>
  </si>
  <si>
    <t>Chen 2022</t>
  </si>
  <si>
    <t>true whole-cell reconstruction</t>
  </si>
  <si>
    <t>Nucleus; Mitochondria; Lipid Droplets</t>
  </si>
  <si>
    <t>Attias 2022</t>
  </si>
  <si>
    <t>Unclear</t>
  </si>
  <si>
    <t>Trypanosoma sp. 858</t>
  </si>
  <si>
    <t>Murata 2014</t>
  </si>
  <si>
    <t>Perktold 2007</t>
  </si>
  <si>
    <t>Nucleus; ER; Mitochondria; Vacuole/Lysosome; Lipid Droplets</t>
  </si>
  <si>
    <t>Pokrovskaya 2020</t>
  </si>
  <si>
    <t>30 cells (10/subject)</t>
  </si>
  <si>
    <t>Hummel 2012</t>
  </si>
  <si>
    <t>14 cells (6 &amp; 8)</t>
  </si>
  <si>
    <t>(6 wt; 8 mutant)</t>
  </si>
  <si>
    <t>Valm 2017</t>
  </si>
  <si>
    <t>10 cells</t>
  </si>
  <si>
    <t>ER; Mitochondria; Vacuole/Lysosome; Lipid Droplets; Peroxisome; Golgi</t>
  </si>
  <si>
    <t>Midorikawa 2022</t>
  </si>
  <si>
    <t>FESEM</t>
  </si>
  <si>
    <t>3L, 3D</t>
  </si>
  <si>
    <t>Muller 2021</t>
  </si>
  <si>
    <t>at least 40 parasites in 19 RBCs, counted from Fig 4, couldn’t find SS stated in text;</t>
  </si>
  <si>
    <t>"dozens", pg 12 - 7 in Fig 5, 8 in Fig 6 (although 6I looks similar to 5H; lasta 3 in 6A look like 6H &amp; 6I), 5 in Fig 7 (although 3rd &amp; 4th look like 6H; 5th looks like 5C); 2 in Fig 8 (8L looks like 6H &amp; 7H#3); 2 in Fig 9 (9F looks like 7H#1, rotated, 9G could be 7H#3)</t>
  </si>
  <si>
    <t>24+</t>
  </si>
  <si>
    <t>2+</t>
  </si>
  <si>
    <t>at least one chemically fixed and one cryofixed</t>
  </si>
  <si>
    <t>90 yeast</t>
  </si>
  <si>
    <t>yeast - 90 (30 cells per metabolic state) (12 MRC-5 cells counted from Fig 6B-D, but EXCLUDED due to lack of cell boundary)</t>
  </si>
  <si>
    <t>vacuole, lipid droplet, nucleus</t>
  </si>
  <si>
    <t>First Author</t>
  </si>
  <si>
    <t>Year</t>
  </si>
  <si>
    <t>Open Access? (Pubmed) (Yes-1, No-0)</t>
  </si>
  <si>
    <t>Article type</t>
  </si>
  <si>
    <t>article count (R - 1, T/B - 0)</t>
  </si>
  <si>
    <t>Data Availability (Y-1, N-0)</t>
  </si>
  <si>
    <t>Larabell 2004</t>
  </si>
  <si>
    <t>Henderson GP</t>
  </si>
  <si>
    <t>Perktold A</t>
  </si>
  <si>
    <t>Noske AB</t>
  </si>
  <si>
    <t>Uchida M</t>
  </si>
  <si>
    <t>Jiang H</t>
  </si>
  <si>
    <t>Ramos TC</t>
  </si>
  <si>
    <t>Yamaguchi M</t>
  </si>
  <si>
    <t>Hummel E</t>
  </si>
  <si>
    <t>Wei D</t>
  </si>
  <si>
    <t>Zheng T</t>
  </si>
  <si>
    <t>Carlson DB</t>
  </si>
  <si>
    <t>Murata K</t>
  </si>
  <si>
    <t>Book Chapter</t>
  </si>
  <si>
    <t>Niclis JC</t>
  </si>
  <si>
    <t>Feng T</t>
  </si>
  <si>
    <t>Hughes L</t>
  </si>
  <si>
    <t>Kelbauskas L</t>
  </si>
  <si>
    <t>Valm AM</t>
  </si>
  <si>
    <t>Deng J</t>
  </si>
  <si>
    <t>Liu J</t>
  </si>
  <si>
    <t>Okumura T</t>
  </si>
  <si>
    <t>Laundon D</t>
  </si>
  <si>
    <t>Pokrovskaya ID</t>
  </si>
  <si>
    <t>Pollreisz A</t>
  </si>
  <si>
    <t>Rudlaff RM</t>
  </si>
  <si>
    <t>White KL</t>
  </si>
  <si>
    <t>Wu GH</t>
  </si>
  <si>
    <t>Loconte V</t>
  </si>
  <si>
    <t>Müller A</t>
  </si>
  <si>
    <t>Attias M</t>
  </si>
  <si>
    <t>Chen JH</t>
  </si>
  <si>
    <t>Johkura K</t>
  </si>
  <si>
    <t>Midorikawa K</t>
  </si>
  <si>
    <t>Zechmann B</t>
  </si>
  <si>
    <t>11 fully rendered &amp; analyzed:  4 early segmentation, 4 mid-segmentation, 1pvm rupture, 2 post-pvm rupture (+/- E54 treatment) 23 full schizonts (48-50hpi, +79 partial); 15 full schizonts in the 46-48hpi (+75 partial)</t>
  </si>
  <si>
    <t>Uwizeye 2021b</t>
  </si>
  <si>
    <t>Uwizeye 2021a</t>
  </si>
  <si>
    <t>Modality code</t>
  </si>
  <si>
    <t>xy (nm)</t>
  </si>
  <si>
    <t>z (nm)</t>
  </si>
  <si>
    <t>Organism type</t>
  </si>
  <si>
    <t xml:space="preserve">Cell Type </t>
  </si>
  <si>
    <t>Cell Type Code</t>
  </si>
  <si>
    <t>Min Sample Size</t>
  </si>
  <si>
    <t>Sample Size Certain?</t>
  </si>
  <si>
    <t>30-60</t>
  </si>
  <si>
    <t>Yeast (pathogenic)</t>
  </si>
  <si>
    <t>N</t>
  </si>
  <si>
    <t>21+ E.i. ("A minimum of 7 parasites were segmented completely per condition" [sporonts, sporoblasts, spores])</t>
  </si>
  <si>
    <t>Y</t>
  </si>
  <si>
    <t xml:space="preserve"> 4 Vero (inc PV, Fig 5)</t>
  </si>
  <si>
    <t>Protist (parasitic protozoan)</t>
  </si>
  <si>
    <t>Optical tomography (phase contrast)</t>
  </si>
  <si>
    <t>100-200</t>
  </si>
  <si>
    <t>Human (differentiated)</t>
  </si>
  <si>
    <t>Optical tomography (diffraction)</t>
  </si>
  <si>
    <t>Human (cancer)</t>
  </si>
  <si>
    <t>ET (cryo)</t>
  </si>
  <si>
    <t>4.3</t>
  </si>
  <si>
    <t>300</t>
  </si>
  <si>
    <r>
      <rPr>
        <i/>
        <sz val="11"/>
        <color theme="1"/>
        <rFont val="Calibri"/>
        <family val="2"/>
        <scheme val="minor"/>
      </rPr>
      <t>Arabidopsis thaliana</t>
    </r>
    <r>
      <rPr>
        <sz val="11"/>
        <color theme="1"/>
        <rFont val="Calibri"/>
        <family val="2"/>
        <scheme val="minor"/>
      </rPr>
      <t>, cortical root</t>
    </r>
  </si>
  <si>
    <t>30</t>
  </si>
  <si>
    <t>8</t>
  </si>
  <si>
    <t>Protist (phytoplankton/algae)</t>
  </si>
  <si>
    <t xml:space="preserve">8 </t>
  </si>
  <si>
    <t>Protist (dinoflagellate)</t>
  </si>
  <si>
    <t>HXT (ptychography w/ fluorescence)</t>
  </si>
  <si>
    <t>45-125</t>
  </si>
  <si>
    <t>55-140</t>
  </si>
  <si>
    <t>Protist (green algae)</t>
  </si>
  <si>
    <t>30-46.5</t>
  </si>
  <si>
    <t>HXT (ptychography)</t>
  </si>
  <si>
    <t>180</t>
  </si>
  <si>
    <t>9.8-30</t>
  </si>
  <si>
    <t>8-10</t>
  </si>
  <si>
    <t>Protist (snow alga/plant)</t>
  </si>
  <si>
    <t>8.7</t>
  </si>
  <si>
    <t>50</t>
  </si>
  <si>
    <t>2.44</t>
  </si>
  <si>
    <t>Protist (green alga)</t>
  </si>
  <si>
    <t>100</t>
  </si>
  <si>
    <t>HEK293T</t>
  </si>
  <si>
    <t>70 or 200</t>
  </si>
  <si>
    <t>6-6.2</t>
  </si>
  <si>
    <t>5</t>
  </si>
  <si>
    <t>75-100</t>
  </si>
  <si>
    <t>0.93-2.33</t>
  </si>
  <si>
    <t>ET (chemical)</t>
  </si>
  <si>
    <t>120-140</t>
  </si>
  <si>
    <t>1.2</t>
  </si>
  <si>
    <t>Protist (picoplankton)</t>
  </si>
  <si>
    <t xml:space="preserve">10 (6 best cells used for quantitation) (52 imaged total); 23 dark-to-light transition; 29 light-to-dark transition; </t>
  </si>
  <si>
    <t>FIB-SEM (IA-SEM)</t>
  </si>
  <si>
    <t>12</t>
  </si>
  <si>
    <t>STEM</t>
  </si>
  <si>
    <t>1-2.8</t>
  </si>
  <si>
    <t>20</t>
  </si>
  <si>
    <t>30-50</t>
  </si>
  <si>
    <t>9</t>
  </si>
  <si>
    <t>27</t>
  </si>
  <si>
    <t>50-60</t>
  </si>
  <si>
    <t>10</t>
  </si>
  <si>
    <t>70</t>
  </si>
  <si>
    <t>Optical tomography (LCCT)</t>
  </si>
  <si>
    <t>291-331</t>
  </si>
  <si>
    <t>232-300</t>
  </si>
  <si>
    <t>131-151</t>
  </si>
  <si>
    <t>347-399</t>
  </si>
  <si>
    <t>70-150</t>
  </si>
  <si>
    <t>Protist (choanoflagellate)</t>
  </si>
  <si>
    <r>
      <rPr>
        <i/>
        <sz val="11"/>
        <color theme="1"/>
        <rFont val="Calibri"/>
        <family val="2"/>
        <scheme val="minor"/>
      </rPr>
      <t>Salpingoeca rosetta</t>
    </r>
    <r>
      <rPr>
        <sz val="11"/>
        <color theme="1"/>
        <rFont val="Calibri"/>
        <family val="2"/>
        <scheme val="minor"/>
      </rPr>
      <t xml:space="preserve"> </t>
    </r>
  </si>
  <si>
    <t>3 colonial, 3 single</t>
  </si>
  <si>
    <t>60</t>
  </si>
  <si>
    <t>Fluorescence (AO-LLSM)</t>
  </si>
  <si>
    <t>97</t>
  </si>
  <si>
    <t>200</t>
  </si>
  <si>
    <t>Fish</t>
  </si>
  <si>
    <t>Human (cancerous)</t>
  </si>
  <si>
    <t>7</t>
  </si>
  <si>
    <t>15</t>
  </si>
  <si>
    <t>human platelets</t>
  </si>
  <si>
    <t>40-50</t>
  </si>
  <si>
    <t>3.5-6.07</t>
  </si>
  <si>
    <t>120</t>
  </si>
  <si>
    <t>285</t>
  </si>
  <si>
    <t xml:space="preserve">Ensiculifera tyrrhenica </t>
  </si>
  <si>
    <t>113.5</t>
  </si>
  <si>
    <t>4</t>
  </si>
  <si>
    <t xml:space="preserve">STEM </t>
  </si>
  <si>
    <t>25</t>
  </si>
  <si>
    <t>21</t>
  </si>
  <si>
    <t>Human (undifferentiated)</t>
  </si>
  <si>
    <t>ET (Cryo)</t>
  </si>
  <si>
    <t>15-20</t>
  </si>
  <si>
    <t xml:space="preserve">ET </t>
  </si>
  <si>
    <t>60-80</t>
  </si>
  <si>
    <t>Mammal</t>
  </si>
  <si>
    <t>80</t>
  </si>
  <si>
    <t>6.8</t>
  </si>
  <si>
    <t>6.7</t>
  </si>
  <si>
    <t>35</t>
  </si>
  <si>
    <t>65-75</t>
  </si>
  <si>
    <t>74-99</t>
  </si>
  <si>
    <t>Neospora caninum</t>
  </si>
  <si>
    <t>8.22</t>
  </si>
  <si>
    <t>6</t>
  </si>
  <si>
    <t>Protist (diplonemid)</t>
  </si>
  <si>
    <t>Lacrimia vacuolata</t>
  </si>
  <si>
    <t>split between yeast-like and germ tube (life cycle)</t>
  </si>
  <si>
    <t>Optical  tomography (diffraction)</t>
  </si>
  <si>
    <t>360</t>
  </si>
  <si>
    <t>Protist (diatom, algae/plankton)</t>
  </si>
  <si>
    <t>Cylindrotheca sp.</t>
  </si>
  <si>
    <t>5-10</t>
  </si>
  <si>
    <t>Protist (phytoplankton)</t>
  </si>
  <si>
    <t xml:space="preserve">Phaeocystis cordata </t>
  </si>
  <si>
    <t>20 free-living + 7 symbiotic (w/ Â and w/o host Acantharia (radiolarian protozoa, marine microplankton))</t>
  </si>
  <si>
    <t>4-8</t>
  </si>
  <si>
    <t>Protist (plankton)</t>
  </si>
  <si>
    <t>Fluorescence (LLS)</t>
  </si>
  <si>
    <t xml:space="preserve"> 294-375</t>
  </si>
  <si>
    <t>649-947</t>
  </si>
  <si>
    <t>SEM-AT</t>
  </si>
  <si>
    <t>40</t>
  </si>
  <si>
    <t>Human  (cancer)</t>
  </si>
  <si>
    <t>3-5</t>
  </si>
  <si>
    <t>Haematococcus pluvialis</t>
  </si>
  <si>
    <t>3</t>
  </si>
  <si>
    <t xml:space="preserve">1
</t>
  </si>
  <si>
    <t>1 cell per resolution</t>
  </si>
  <si>
    <t>3.72</t>
  </si>
  <si>
    <t>comparing 3 modalities on 1 cell, FIB-SEM produces the only "whole cell"</t>
  </si>
  <si>
    <t>STXM</t>
  </si>
  <si>
    <t>75-80</t>
  </si>
  <si>
    <t xml:space="preserve">Cucurbita pepo </t>
  </si>
  <si>
    <t>Nicotiana tabacum</t>
  </si>
  <si>
    <t>ET</t>
  </si>
  <si>
    <t>OT</t>
  </si>
  <si>
    <t>FE-SEM</t>
  </si>
  <si>
    <t>by study</t>
  </si>
  <si>
    <t>by dataset</t>
  </si>
  <si>
    <t>Modality</t>
  </si>
  <si>
    <t>CACM: xy? 0.42um (z); FIBSEM: 39.19nm milling (z?), pixel size 12.56nm (xy); ssTEM ?</t>
  </si>
  <si>
    <t>xy (med)</t>
  </si>
  <si>
    <t>xy error</t>
  </si>
  <si>
    <t>z (med)</t>
  </si>
  <si>
    <t>z (error)</t>
  </si>
  <si>
    <t>Isotropic?</t>
  </si>
  <si>
    <t>y</t>
  </si>
  <si>
    <t>EM xy</t>
  </si>
  <si>
    <t>EM z</t>
  </si>
  <si>
    <t>Xray xy</t>
  </si>
  <si>
    <t>Xray z</t>
  </si>
  <si>
    <t>Light xy</t>
  </si>
  <si>
    <t>Light z</t>
  </si>
  <si>
    <t>color</t>
  </si>
  <si>
    <t>#000000</t>
  </si>
  <si>
    <t>#c44601</t>
  </si>
  <si>
    <t>#009E73</t>
  </si>
  <si>
    <t>#56B4E9</t>
  </si>
  <si>
    <t>#0072B2</t>
  </si>
  <si>
    <t>#4daf4a</t>
  </si>
  <si>
    <t>#ff7f00</t>
  </si>
  <si>
    <t>#faaf90</t>
  </si>
  <si>
    <t>#888888</t>
  </si>
  <si>
    <t>#6c46de</t>
  </si>
  <si>
    <t>#fac72d</t>
  </si>
  <si>
    <t>#f93b3b</t>
  </si>
  <si>
    <t>Color</t>
  </si>
  <si>
    <t>Marker</t>
  </si>
  <si>
    <t>#AD2EC2</t>
  </si>
  <si>
    <t>"x"</t>
  </si>
  <si>
    <t>Incomplete Reporting</t>
  </si>
  <si>
    <t>Cell type</t>
  </si>
  <si>
    <t># of studies</t>
  </si>
  <si>
    <t>Total # cells</t>
  </si>
  <si>
    <t>P. falciparum</t>
  </si>
  <si>
    <t>5 (6 datasets)</t>
  </si>
  <si>
    <t>C. reinhardtii</t>
  </si>
  <si>
    <t>T. Cruzi</t>
  </si>
  <si>
    <t>Rat insulinoma pancreatic β cell (INS-1E)</t>
  </si>
  <si>
    <t xml:space="preserve">Mouse pancreatic β cell </t>
  </si>
  <si>
    <r>
      <t>P. falciparum-</t>
    </r>
    <r>
      <rPr>
        <sz val="8"/>
        <color rgb="FF000000"/>
        <rFont val="Arial"/>
        <family val="2"/>
      </rPr>
      <t>infected human RBC</t>
    </r>
  </si>
  <si>
    <t>S. pombe</t>
  </si>
  <si>
    <t xml:space="preserve">Trypanosoma brucei </t>
  </si>
  <si>
    <t>COS-7</t>
  </si>
  <si>
    <t>Calu-3 human lung epithelial cells</t>
  </si>
  <si>
    <t>human B-lymphocytes</t>
  </si>
  <si>
    <t>Marker color</t>
  </si>
  <si>
    <t>k</t>
  </si>
  <si>
    <t>b</t>
  </si>
  <si>
    <t>platelet</t>
  </si>
  <si>
    <t>Micromonas</t>
  </si>
  <si>
    <t>Emiliana</t>
  </si>
  <si>
    <t>Pelagomonas</t>
  </si>
  <si>
    <t>Symbiodinium</t>
  </si>
  <si>
    <t>Galdieria</t>
  </si>
  <si>
    <t>Phaeodactylum</t>
  </si>
  <si>
    <t>Nannochloropsis</t>
  </si>
  <si>
    <t>Brandtodinium nutricula</t>
  </si>
  <si>
    <r>
      <rPr>
        <i/>
        <sz val="11"/>
        <color theme="1"/>
        <rFont val="Calibri"/>
        <family val="2"/>
        <scheme val="minor"/>
      </rPr>
      <t>Trypanosoma</t>
    </r>
    <r>
      <rPr>
        <sz val="11"/>
        <color theme="1"/>
        <rFont val="Calibri"/>
        <family val="2"/>
        <scheme val="minor"/>
      </rPr>
      <t xml:space="preserve"> (currawong)</t>
    </r>
  </si>
  <si>
    <r>
      <rPr>
        <i/>
        <sz val="11"/>
        <color theme="1"/>
        <rFont val="Calibri"/>
        <family val="2"/>
        <scheme val="minor"/>
      </rPr>
      <t>Plasmodium chaubadi</t>
    </r>
    <r>
      <rPr>
        <sz val="11"/>
        <color theme="1"/>
        <rFont val="Calibri"/>
        <family val="2"/>
        <scheme val="minor"/>
      </rPr>
      <t xml:space="preserve"> </t>
    </r>
  </si>
  <si>
    <t xml:space="preserve">Eimeria tenella </t>
  </si>
  <si>
    <r>
      <rPr>
        <i/>
        <sz val="11"/>
        <color theme="1"/>
        <rFont val="Calibri"/>
        <family val="2"/>
        <scheme val="minor"/>
      </rPr>
      <t>Crithidia deanei</t>
    </r>
    <r>
      <rPr>
        <sz val="11"/>
        <color theme="1"/>
        <rFont val="Calibri"/>
        <family val="2"/>
        <scheme val="minor"/>
      </rPr>
      <t xml:space="preserve"> </t>
    </r>
  </si>
  <si>
    <t>Babesia divergens</t>
  </si>
  <si>
    <t>Ostreococcus tauri</t>
  </si>
  <si>
    <t>Sanguina nivaloides</t>
  </si>
  <si>
    <t>Chlorella pyrenoidosa</t>
  </si>
  <si>
    <r>
      <rPr>
        <i/>
        <sz val="11"/>
        <color theme="1"/>
        <rFont val="Calibri"/>
        <family val="2"/>
        <scheme val="minor"/>
      </rPr>
      <t>Oryza sativa,</t>
    </r>
    <r>
      <rPr>
        <sz val="11"/>
        <color theme="1"/>
        <rFont val="Calibri"/>
        <family val="2"/>
        <scheme val="minor"/>
      </rPr>
      <t xml:space="preserve"> mesophyll</t>
    </r>
  </si>
  <si>
    <r>
      <rPr>
        <i/>
        <sz val="11"/>
        <color theme="1"/>
        <rFont val="Calibri"/>
        <family val="2"/>
        <scheme val="minor"/>
      </rPr>
      <t>Arabidopsis thaliana</t>
    </r>
    <r>
      <rPr>
        <sz val="11"/>
        <color theme="1"/>
        <rFont val="Calibri"/>
        <family val="2"/>
        <scheme val="minor"/>
      </rPr>
      <t xml:space="preserve">, mesophyll </t>
    </r>
  </si>
  <si>
    <r>
      <rPr>
        <i/>
        <sz val="11"/>
        <color theme="1"/>
        <rFont val="Calibri"/>
        <family val="2"/>
        <scheme val="minor"/>
      </rPr>
      <t>Arabidopsis thaliana,</t>
    </r>
    <r>
      <rPr>
        <sz val="11"/>
        <color theme="1"/>
        <rFont val="Calibri"/>
        <family val="2"/>
        <scheme val="minor"/>
      </rPr>
      <t xml:space="preserve"> guard cell</t>
    </r>
  </si>
  <si>
    <t>Encephalitozoon intestinalis</t>
  </si>
  <si>
    <t>Penaeus monodon</t>
  </si>
  <si>
    <r>
      <rPr>
        <i/>
        <sz val="11"/>
        <color theme="1"/>
        <rFont val="Calibri"/>
        <family val="2"/>
        <scheme val="minor"/>
      </rPr>
      <t>Oscarella carmela</t>
    </r>
    <r>
      <rPr>
        <sz val="11"/>
        <color theme="1"/>
        <rFont val="Calibri"/>
        <family val="2"/>
        <scheme val="minor"/>
      </rPr>
      <t>, choanocytes</t>
    </r>
  </si>
  <si>
    <r>
      <t xml:space="preserve">Danio rerio, </t>
    </r>
    <r>
      <rPr>
        <sz val="11"/>
        <color theme="1"/>
        <rFont val="Calibri"/>
        <family val="2"/>
        <scheme val="minor"/>
      </rPr>
      <t>"long process" cell</t>
    </r>
  </si>
  <si>
    <r>
      <t xml:space="preserve">Danio rerio, </t>
    </r>
    <r>
      <rPr>
        <sz val="11"/>
        <color theme="1"/>
        <rFont val="Calibri"/>
        <family val="2"/>
        <scheme val="minor"/>
      </rPr>
      <t>"cogwheel" cell</t>
    </r>
  </si>
  <si>
    <r>
      <rPr>
        <i/>
        <sz val="11"/>
        <color theme="1"/>
        <rFont val="Calibri"/>
        <family val="2"/>
        <scheme val="minor"/>
      </rPr>
      <t xml:space="preserve">Danio rerio, </t>
    </r>
    <r>
      <rPr>
        <sz val="11"/>
        <color theme="1"/>
        <rFont val="Calibri"/>
        <family val="2"/>
        <scheme val="minor"/>
      </rPr>
      <t>thymus</t>
    </r>
  </si>
  <si>
    <r>
      <rPr>
        <i/>
        <sz val="11"/>
        <color theme="1"/>
        <rFont val="Calibri"/>
        <family val="2"/>
        <scheme val="minor"/>
      </rPr>
      <t>Danio rerio,</t>
    </r>
    <r>
      <rPr>
        <sz val="11"/>
        <color theme="1"/>
        <rFont val="Calibri"/>
        <family val="2"/>
        <scheme val="minor"/>
      </rPr>
      <t xml:space="preserve"> neural progenitor cell</t>
    </r>
  </si>
  <si>
    <r>
      <rPr>
        <i/>
        <sz val="11"/>
        <color theme="1"/>
        <rFont val="Calibri"/>
        <family val="2"/>
        <scheme val="minor"/>
      </rPr>
      <t xml:space="preserve">Danio rerio, </t>
    </r>
    <r>
      <rPr>
        <sz val="11"/>
        <color theme="1"/>
        <rFont val="Calibri"/>
        <family val="2"/>
        <scheme val="minor"/>
      </rPr>
      <t>lens cell</t>
    </r>
  </si>
  <si>
    <r>
      <rPr>
        <i/>
        <sz val="11"/>
        <color theme="1"/>
        <rFont val="Calibri"/>
        <family val="2"/>
        <scheme val="minor"/>
      </rPr>
      <t>Danio rerio,</t>
    </r>
    <r>
      <rPr>
        <sz val="11"/>
        <color theme="1"/>
        <rFont val="Calibri"/>
        <family val="2"/>
        <scheme val="minor"/>
      </rPr>
      <t xml:space="preserve"> skin cell</t>
    </r>
  </si>
  <si>
    <r>
      <rPr>
        <i/>
        <sz val="11"/>
        <color theme="1"/>
        <rFont val="Calibri"/>
        <family val="2"/>
        <scheme val="minor"/>
      </rPr>
      <t>Danio rerio,</t>
    </r>
    <r>
      <rPr>
        <sz val="11"/>
        <color theme="1"/>
        <rFont val="Calibri"/>
        <family val="2"/>
        <scheme val="minor"/>
      </rPr>
      <t xml:space="preserve"> retinal neuroepithelial cell</t>
    </r>
  </si>
  <si>
    <r>
      <t xml:space="preserve">Danio rerio, </t>
    </r>
    <r>
      <rPr>
        <sz val="11"/>
        <color theme="1"/>
        <rFont val="Calibri"/>
        <family val="2"/>
        <scheme val="minor"/>
      </rPr>
      <t>cytotoxic T cell</t>
    </r>
  </si>
  <si>
    <r>
      <t xml:space="preserve">Danio rerio, </t>
    </r>
    <r>
      <rPr>
        <sz val="11"/>
        <color theme="1"/>
        <rFont val="Calibri"/>
        <family val="2"/>
        <scheme val="minor"/>
      </rPr>
      <t>adrenal medulla neutrophil</t>
    </r>
  </si>
  <si>
    <t>hESC (embryonic)</t>
  </si>
  <si>
    <t>hASC (adipose-derived)</t>
  </si>
  <si>
    <t>MCF10A (breast epithelia)</t>
  </si>
  <si>
    <t>RPE (retinal epithelia)</t>
  </si>
  <si>
    <t>B lymphocyte</t>
  </si>
  <si>
    <t>MNT-1 (melanoma)</t>
  </si>
  <si>
    <t>H446 (lung cancer)</t>
  </si>
  <si>
    <t>MDA231 (breast cancer)</t>
  </si>
  <si>
    <t>T47D (breast cancer)</t>
  </si>
  <si>
    <t>AU565 (breast cancer)</t>
  </si>
  <si>
    <t>K562 (leukemia)</t>
  </si>
  <si>
    <t>Cell Type (condensed)</t>
  </si>
  <si>
    <t>Code (condensed)</t>
  </si>
  <si>
    <t>GM12878 (B lymphocyte)</t>
  </si>
  <si>
    <t>T</t>
  </si>
  <si>
    <t xml:space="preserve"> </t>
  </si>
  <si>
    <t>whitesmoke</t>
  </si>
  <si>
    <t>Nucleus; ER; Mitochondria; Vacuole/Lysosome</t>
  </si>
  <si>
    <t>Nucleus; Lipid Droplets; Flagella/cilia</t>
  </si>
  <si>
    <t>Nucleus; Mitochondria; Vacuole/Lysosome</t>
  </si>
  <si>
    <t>Mitochondria</t>
  </si>
  <si>
    <t>Nucleus; ER; Mitochondria; Vacuole/Lysosome; Chloroplast/Plastid; Golgi; MVB</t>
  </si>
  <si>
    <t>Nucleus; Mitochondria; Vacuole/Lysosome; Chloroplast/Plastid</t>
  </si>
  <si>
    <t>chloroplast/plastid</t>
  </si>
  <si>
    <t>Nucleus; Vacuole/Lysosome; Lipid Droplets</t>
  </si>
  <si>
    <t>Nucleus; ER; Mitochondria; Vacuole/Lysosome; Lipid Droplets; Chloroplast/Plastid</t>
  </si>
  <si>
    <t>Nucleus; Flagella/cilia</t>
  </si>
  <si>
    <t>Nucleus; Vacuole/Lysosome; Flagella/cilia</t>
  </si>
  <si>
    <t>Nucleus; Mitochondria; Vesicles; Flagella/cilia</t>
  </si>
  <si>
    <t>Nucleus; ER; Mitochondria; Vacuole/Lysosome; Lipid Droplets; Golgi; Flagella/cilia</t>
  </si>
  <si>
    <t>Nucleus; ER; Mitochondria; Chloroplast/Plastid; Peroxisome; Golgi</t>
  </si>
  <si>
    <t>Nucleus; ER; Mitochondria</t>
  </si>
  <si>
    <t>Nucleus; Vacuole/Lysosome; Lipid Droplets; Golgi</t>
  </si>
  <si>
    <t>Nucleus; Mitochondria; Golgi; Flagella/cilia; Centrosome/Basal Body</t>
  </si>
  <si>
    <t>Nucleus; Mitochondria; Vacuole/Lysosome; Lipid Droplets; Chloroplast/Plastid; Flagella/cilia</t>
  </si>
  <si>
    <t>Nucleus; Golgi</t>
  </si>
  <si>
    <t>nucleus, ER; Mitochondria</t>
  </si>
  <si>
    <t>Nucleus</t>
  </si>
  <si>
    <t>Nucleus; ER; Mitochondria; Vacuole/Lysosome; Golgi; Flagella/cilia; Centrosome/Basal Body; Vesicles</t>
  </si>
  <si>
    <t>Nucleus; ER; Mitochondria; Vacuole/Lysosome; Golgi; Flagella/cilia; Centrosome/Basal Body</t>
  </si>
  <si>
    <t>ER; Mitochondria; Lipid Droplets; Vesicles</t>
  </si>
  <si>
    <t>mitochondria</t>
  </si>
  <si>
    <t>Mitochondria, flagella/cilia</t>
  </si>
  <si>
    <r>
      <rPr>
        <i/>
        <sz val="11"/>
        <color theme="1"/>
        <rFont val="Calibri"/>
        <family val="2"/>
        <scheme val="minor"/>
      </rPr>
      <t>Danio rerio,</t>
    </r>
    <r>
      <rPr>
        <sz val="11"/>
        <color theme="1"/>
        <rFont val="Calibri"/>
        <family val="2"/>
        <scheme val="minor"/>
      </rPr>
      <t xml:space="preserve"> hair cells</t>
    </r>
  </si>
  <si>
    <r>
      <rPr>
        <i/>
        <sz val="11"/>
        <color theme="1"/>
        <rFont val="Calibri"/>
        <family val="2"/>
        <scheme val="minor"/>
      </rPr>
      <t>Danio rerio</t>
    </r>
    <r>
      <rPr>
        <sz val="11"/>
        <color theme="1"/>
        <rFont val="Calibri"/>
        <family val="2"/>
        <scheme val="minor"/>
      </rPr>
      <t>, supporting cells</t>
    </r>
  </si>
  <si>
    <t>Nucleus; Mitochondria; Chloroplast/Plastid; Golgi; Flagella/cilia</t>
  </si>
  <si>
    <t>Nucleus; Mitochondria; Golgi; MVB</t>
  </si>
  <si>
    <t>Mitochondria; Lipid Droplets;</t>
  </si>
  <si>
    <t>Nucleus; Mitochondria; Vacuole/Lysosome; Lipid Droplets; Chloroplast/Plastid</t>
  </si>
  <si>
    <t>Nucleus; Mitochondria; Vacuole/Lysosome;</t>
  </si>
  <si>
    <t>Nucleus; Vacuole/Lysosome; Centrosome/Basal Body</t>
  </si>
  <si>
    <t>Nucleus; Mitochondria; Vacuole/Lysosome; Vesicles</t>
  </si>
  <si>
    <t>Nucleus; Mitochondria; Lipid Droplets; Golgi; Flagella/cilia</t>
  </si>
  <si>
    <t>Vacuole/Lysosome; Chloroplast/Plastid</t>
  </si>
  <si>
    <t>Nucleus; Mitochondria; Chloroplast/Plastid</t>
  </si>
  <si>
    <t>Nucleus; Mitochondria; Chloroplast/Plastid; Vesicles;</t>
  </si>
  <si>
    <t>Nucleus; ER; Mitochondria; Vacuole/Lysosome; Golgi</t>
  </si>
  <si>
    <t>Nucleus; Mitochondria; Vacuole/Lysosome; Golgi</t>
  </si>
  <si>
    <t>Nucleus; Mitochondria, early endosome</t>
  </si>
  <si>
    <t>Nucleus; Mitochondria; Chloroplast/Plastid; Golgi</t>
  </si>
  <si>
    <t>Nucleus; ER; Mitochondria; Vacuole/Lysosome; Lipid Droplets; Golgi; Vesicles;</t>
  </si>
  <si>
    <t>Nucleus; Mitochondria; Vacuole/Lysosome; Lipid Droplets; Vesicles</t>
  </si>
  <si>
    <t>Nucleus; ER; Vacuole/Lysosome; Lipid Droplets; Flagella/cilia</t>
  </si>
  <si>
    <t>ER; Mitochondria; Vacuole/Lysosome; Vesicles</t>
  </si>
  <si>
    <t>abbreviation</t>
  </si>
  <si>
    <t>Ei</t>
  </si>
  <si>
    <t>Tr858</t>
  </si>
  <si>
    <t>Et</t>
  </si>
  <si>
    <t>Sc</t>
  </si>
  <si>
    <t>humB</t>
  </si>
  <si>
    <t>Bd</t>
  </si>
  <si>
    <t>TrCur</t>
  </si>
  <si>
    <t>At-cr</t>
  </si>
  <si>
    <t>Cu</t>
  </si>
  <si>
    <t>Phae</t>
  </si>
  <si>
    <t>Bn</t>
  </si>
  <si>
    <t>Cr</t>
  </si>
  <si>
    <t>Sn</t>
  </si>
  <si>
    <t>Pm</t>
  </si>
  <si>
    <t>Cp</t>
  </si>
  <si>
    <t>Tc</t>
  </si>
  <si>
    <t>HEK</t>
  </si>
  <si>
    <t>Tb</t>
  </si>
  <si>
    <t>Lm</t>
  </si>
  <si>
    <t>Pf</t>
  </si>
  <si>
    <t>Ot</t>
  </si>
  <si>
    <t>MNT1</t>
  </si>
  <si>
    <t>COS7</t>
  </si>
  <si>
    <t>Pf-iHe</t>
  </si>
  <si>
    <t>H446</t>
  </si>
  <si>
    <t>Sp</t>
  </si>
  <si>
    <t>RtHep</t>
  </si>
  <si>
    <t>K562</t>
  </si>
  <si>
    <t>J774A1</t>
  </si>
  <si>
    <t>Tg</t>
  </si>
  <si>
    <t>Sr</t>
  </si>
  <si>
    <t>Oc</t>
  </si>
  <si>
    <t>RtBeta</t>
  </si>
  <si>
    <t>ZbNP</t>
  </si>
  <si>
    <t>ZbL</t>
  </si>
  <si>
    <t>ZbS</t>
  </si>
  <si>
    <t>HuPlt</t>
  </si>
  <si>
    <t>ZbHC</t>
  </si>
  <si>
    <t>ZbSC</t>
  </si>
  <si>
    <t>Pc-iMe</t>
  </si>
  <si>
    <t>At-m</t>
  </si>
  <si>
    <t>At-g</t>
  </si>
  <si>
    <t>Etyr</t>
  </si>
  <si>
    <t>Cd</t>
  </si>
  <si>
    <t>MsBeta</t>
  </si>
  <si>
    <t>Os</t>
  </si>
  <si>
    <t>Mm2T</t>
  </si>
  <si>
    <t>Pk</t>
  </si>
  <si>
    <t>C57BL</t>
  </si>
  <si>
    <t>HuRPE</t>
  </si>
  <si>
    <t>Nc</t>
  </si>
  <si>
    <t>Lv</t>
  </si>
  <si>
    <t>Ca</t>
  </si>
  <si>
    <t>Cyl</t>
  </si>
  <si>
    <t>Mic</t>
  </si>
  <si>
    <t>Emi</t>
  </si>
  <si>
    <t>Pel</t>
  </si>
  <si>
    <t>Sym</t>
  </si>
  <si>
    <t>Gal</t>
  </si>
  <si>
    <t>Nan</t>
  </si>
  <si>
    <t>ZbTh</t>
  </si>
  <si>
    <t>ZbAMN</t>
  </si>
  <si>
    <t>ZbCog</t>
  </si>
  <si>
    <t>ZbLP</t>
  </si>
  <si>
    <t>MDA231</t>
  </si>
  <si>
    <t>Hp</t>
  </si>
  <si>
    <t>MsPM</t>
  </si>
  <si>
    <t>Cpep</t>
  </si>
  <si>
    <t>Nt</t>
  </si>
  <si>
    <t>MsAlpha</t>
  </si>
  <si>
    <t>hESC</t>
  </si>
  <si>
    <t>hASC</t>
  </si>
  <si>
    <t xml:space="preserve">T47D </t>
  </si>
  <si>
    <t xml:space="preserve">AU565 </t>
  </si>
  <si>
    <t xml:space="preserve">MCF10A </t>
  </si>
  <si>
    <t>Vero</t>
  </si>
  <si>
    <t>nucleus, mito, ER</t>
  </si>
  <si>
    <t>Nucleus, mitochondria</t>
  </si>
  <si>
    <r>
      <t>C57BL/6 (</t>
    </r>
    <r>
      <rPr>
        <i/>
        <sz val="11"/>
        <color theme="1"/>
        <rFont val="Calibri"/>
        <family val="2"/>
        <scheme val="minor"/>
      </rPr>
      <t>M. musculus</t>
    </r>
    <r>
      <rPr>
        <sz val="11"/>
        <color theme="1"/>
        <rFont val="Calibri"/>
        <family val="2"/>
        <scheme val="minor"/>
      </rPr>
      <t>)</t>
    </r>
  </si>
  <si>
    <r>
      <t>COS-7 (</t>
    </r>
    <r>
      <rPr>
        <i/>
        <sz val="11"/>
        <color theme="1"/>
        <rFont val="Calibri"/>
        <family val="2"/>
        <scheme val="minor"/>
      </rPr>
      <t>Cercopithecus aethiops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</si>
  <si>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theme="1"/>
        <rFont val="Calibri"/>
        <family val="2"/>
        <scheme val="minor"/>
      </rPr>
      <t>M. musculus,</t>
    </r>
    <r>
      <rPr>
        <sz val="11"/>
        <color theme="1"/>
        <rFont val="Calibri"/>
        <family val="2"/>
        <scheme val="minor"/>
      </rPr>
      <t xml:space="preserve"> macrophage</t>
    </r>
  </si>
  <si>
    <r>
      <t>INS-1E (</t>
    </r>
    <r>
      <rPr>
        <i/>
        <sz val="11"/>
        <color theme="1"/>
        <rFont val="Calibri"/>
        <family val="2"/>
        <scheme val="minor"/>
      </rPr>
      <t>R. norvegicus</t>
    </r>
    <r>
      <rPr>
        <sz val="11"/>
        <color theme="1"/>
        <rFont val="Calibri"/>
        <family val="2"/>
        <scheme val="minor"/>
      </rPr>
      <t>)</t>
    </r>
  </si>
  <si>
    <r>
      <rPr>
        <i/>
        <sz val="11"/>
        <color theme="1"/>
        <rFont val="Calibri"/>
        <family val="2"/>
        <scheme val="minor"/>
      </rPr>
      <t>R. norvegicus</t>
    </r>
    <r>
      <rPr>
        <sz val="11"/>
        <color theme="1"/>
        <rFont val="Calibri"/>
        <family val="2"/>
        <scheme val="minor"/>
      </rPr>
      <t>, hepatocyte</t>
    </r>
  </si>
  <si>
    <r>
      <rPr>
        <i/>
        <sz val="11"/>
        <color theme="1"/>
        <rFont val="Calibri"/>
        <family val="2"/>
        <scheme val="minor"/>
      </rPr>
      <t>M. musculus</t>
    </r>
    <r>
      <rPr>
        <sz val="11"/>
        <color theme="1"/>
        <rFont val="Calibri"/>
        <family val="2"/>
        <scheme val="minor"/>
      </rPr>
      <t>, alpha cell</t>
    </r>
  </si>
  <si>
    <r>
      <rPr>
        <i/>
        <sz val="11"/>
        <color theme="1"/>
        <rFont val="Calibri"/>
        <family val="2"/>
        <scheme val="minor"/>
      </rPr>
      <t>M. musculus</t>
    </r>
    <r>
      <rPr>
        <sz val="11"/>
        <color theme="1"/>
        <rFont val="Calibri"/>
        <family val="2"/>
        <scheme val="minor"/>
      </rPr>
      <t>, beta cell</t>
    </r>
  </si>
  <si>
    <r>
      <t>J774A.1 (</t>
    </r>
    <r>
      <rPr>
        <i/>
        <sz val="11"/>
        <color theme="1"/>
        <rFont val="Calibri"/>
        <family val="2"/>
        <scheme val="minor"/>
      </rPr>
      <t>M. musculus</t>
    </r>
    <r>
      <rPr>
        <sz val="11"/>
        <color theme="1"/>
        <rFont val="Calibri"/>
        <family val="2"/>
        <scheme val="minor"/>
      </rPr>
      <t>)</t>
    </r>
  </si>
  <si>
    <r>
      <t>Mm2T (</t>
    </r>
    <r>
      <rPr>
        <i/>
        <sz val="11"/>
        <color theme="1"/>
        <rFont val="Calibri"/>
        <family val="2"/>
        <scheme val="minor"/>
      </rPr>
      <t>Muntiacus muntjak</t>
    </r>
    <r>
      <rPr>
        <sz val="11"/>
        <color theme="1"/>
        <rFont val="Calibri"/>
        <family val="2"/>
        <scheme val="minor"/>
      </rPr>
      <t>)</t>
    </r>
  </si>
  <si>
    <r>
      <t>Vero (</t>
    </r>
    <r>
      <rPr>
        <i/>
        <sz val="11"/>
        <color theme="1"/>
        <rFont val="Calibri"/>
        <family val="2"/>
        <scheme val="minor"/>
      </rPr>
      <t>Cercopithecus aethiops</t>
    </r>
    <r>
      <rPr>
        <sz val="11"/>
        <color theme="1"/>
        <rFont val="Calibri"/>
        <family val="2"/>
        <scheme val="minor"/>
      </rPr>
      <t>)</t>
    </r>
  </si>
  <si>
    <t>Pcor</t>
  </si>
  <si>
    <t>ZbRN</t>
  </si>
  <si>
    <t>ZbT</t>
  </si>
  <si>
    <t>grey indicates where the same study uses the same modality for a different dataset, these counts are excluded for "by study" tally, but included for "by dataset"</t>
  </si>
  <si>
    <t>Note:</t>
  </si>
  <si>
    <t>index</t>
  </si>
  <si>
    <t>nucleus</t>
  </si>
  <si>
    <t>mito</t>
  </si>
  <si>
    <t>vac/lyso</t>
  </si>
  <si>
    <t>ER</t>
  </si>
  <si>
    <t>LD</t>
  </si>
  <si>
    <t>Golgi</t>
  </si>
  <si>
    <t>chloroplast</t>
  </si>
  <si>
    <t>vesicles</t>
  </si>
  <si>
    <t>cilia/flag</t>
  </si>
  <si>
    <t>peroxisome</t>
  </si>
  <si>
    <t>cent/BB</t>
  </si>
  <si>
    <t>endosome</t>
  </si>
  <si>
    <t>MVB</t>
  </si>
  <si>
    <t>autophag</t>
  </si>
  <si>
    <t>Sum</t>
  </si>
  <si>
    <t>chromosomes, pyrenoid (sub-organelles)</t>
  </si>
  <si>
    <t>polaroplast, anchoring disc, polar tube, nucleation center, exospore</t>
  </si>
  <si>
    <t>Organelles (common)</t>
  </si>
  <si>
    <t>Organelles (specialized)</t>
  </si>
  <si>
    <t>Mitochondria; endosome</t>
  </si>
  <si>
    <t>reservosome (late endosome)</t>
  </si>
  <si>
    <t xml:space="preserve">Nucleus; </t>
  </si>
  <si>
    <t>rhoptry</t>
  </si>
  <si>
    <t>rhoptry, cystosomal ring, apicoplast, polar rings</t>
  </si>
  <si>
    <t>Nucleus; Mitochondria; Golgi; centrosome/basal body, flagella</t>
  </si>
  <si>
    <t>centriole; axomene</t>
  </si>
  <si>
    <t>peri-vacuolar membrane area</t>
  </si>
  <si>
    <t>Nucleus; Mitochondria; endosome</t>
  </si>
  <si>
    <t xml:space="preserve"> starch platelets, pyrenoid, starch grains, nucleolus</t>
  </si>
  <si>
    <t>Non-/Sub-organelles</t>
  </si>
  <si>
    <t>Unsure</t>
  </si>
  <si>
    <t xml:space="preserve">Other: Refractile bodies, amylopectin granules, </t>
  </si>
  <si>
    <t>(likely/uncertain - nucleus, vacuole)</t>
  </si>
  <si>
    <t xml:space="preserve">starch grains, </t>
  </si>
  <si>
    <t>chloroplast pyrenoid, thylakoid, nucleolus, heterochromatin, euchromatin</t>
  </si>
  <si>
    <t xml:space="preserve"> polar rings, cystosomal ring, </t>
  </si>
  <si>
    <t>Total</t>
  </si>
  <si>
    <t xml:space="preserve"> glycosome, acidocalcisome, kinetoplast, </t>
  </si>
  <si>
    <t>paraflagellar rod, PFR, flagellar pocket</t>
  </si>
  <si>
    <t>Nucleus; Mitochondria; Golgi; centrosome/basal body; flagella</t>
  </si>
  <si>
    <t># datasets per cell type</t>
  </si>
  <si>
    <t>0-1</t>
  </si>
  <si>
    <t>nucleus; ER; Mitochondria</t>
  </si>
  <si>
    <t>vacuole; lipid droplet; nucleus</t>
  </si>
  <si>
    <t>Nuc</t>
  </si>
  <si>
    <t>Mito</t>
  </si>
  <si>
    <t>Vac/Lyso</t>
  </si>
  <si>
    <t>Plast</t>
  </si>
  <si>
    <t>Ves</t>
  </si>
  <si>
    <t>Cilia</t>
  </si>
  <si>
    <t>Cent</t>
  </si>
  <si>
    <t>Endo</t>
  </si>
  <si>
    <t>Autophag</t>
  </si>
  <si>
    <t>Class</t>
  </si>
  <si>
    <t>Count</t>
  </si>
  <si>
    <t>Crowding</t>
  </si>
  <si>
    <t>RI</t>
  </si>
  <si>
    <t>Volume Scaling</t>
  </si>
  <si>
    <t>Shape</t>
  </si>
  <si>
    <t>No quant</t>
  </si>
  <si>
    <t>Contact/Association</t>
  </si>
  <si>
    <t>Positioning/Distance</t>
  </si>
  <si>
    <t>Density</t>
  </si>
  <si>
    <t>Surface Area</t>
  </si>
  <si>
    <t>Volume fraction</t>
  </si>
  <si>
    <t>Volume</t>
  </si>
  <si>
    <t>Mutation</t>
  </si>
  <si>
    <t>Function/Behavior</t>
  </si>
  <si>
    <t>Disease/Infection</t>
  </si>
  <si>
    <t>Morphology</t>
  </si>
  <si>
    <t>Environmental</t>
  </si>
  <si>
    <t>Life Cycle/Dev/Dif</t>
  </si>
  <si>
    <t>Stressor</t>
  </si>
  <si>
    <t>Metabolic</t>
  </si>
  <si>
    <t>No comp</t>
  </si>
  <si>
    <t>Uwizeye 2021</t>
  </si>
  <si>
    <t>Uwizeye C</t>
  </si>
  <si>
    <t>Comparator Class</t>
  </si>
  <si>
    <t>Specific</t>
  </si>
  <si>
    <t>Quant Classes</t>
  </si>
  <si>
    <t>Quantifications - specific</t>
  </si>
  <si>
    <t>; Other: free-living vs symbiotic</t>
  </si>
  <si>
    <t>Differentiation; Cell Type</t>
  </si>
  <si>
    <t>differentiation (single vs colonial/multicellular); species (choanoflagellate vs choanocyte)</t>
  </si>
  <si>
    <t>Volume, Volume fraction; Count</t>
  </si>
  <si>
    <t>volume, %vol composition, counts</t>
  </si>
  <si>
    <t xml:space="preserve">Life Cycle </t>
  </si>
  <si>
    <t xml:space="preserve">Metabolic </t>
  </si>
  <si>
    <t>Other: metabolism/trophy - free-living vs symbiotic (radiolarians - collodaria Collozoum host)</t>
  </si>
  <si>
    <t>SARS-CoV2 infection</t>
  </si>
  <si>
    <t xml:space="preserve">SA </t>
  </si>
  <si>
    <t>golgi fragmentation (largest golgi area)</t>
  </si>
  <si>
    <t>Methodology; Disease/Infection</t>
  </si>
  <si>
    <t>native vs fixed (B cells); SARS-Cov2 infection</t>
  </si>
  <si>
    <t>Volume, Volume fraction, Density, Dimensions</t>
  </si>
  <si>
    <t>volume, % volume, LAC, diameters/dimensions</t>
  </si>
  <si>
    <t>Stressor; Life Cycle</t>
  </si>
  <si>
    <t>antifungal peptoid; unicellular vs hyphal/multicellular phenotype</t>
  </si>
  <si>
    <t>Volume fraction; Dimensions</t>
  </si>
  <si>
    <t>nucleus and LD %vol comparison; diameters/dimensions</t>
  </si>
  <si>
    <t>n/a</t>
  </si>
  <si>
    <t>glucose stimulation/insulin production</t>
  </si>
  <si>
    <t>Volume, Volume fraction, Count, Density, Positioning/Distance</t>
  </si>
  <si>
    <t>volume, % volume, count, LAC, distribution (distance from PM), cell-cell heterogeneity</t>
  </si>
  <si>
    <t>Volume; Volume fraction; SA</t>
  </si>
  <si>
    <t>volume, vol %, SA (no nuc volume but can calculates as NE + HC + EC)</t>
  </si>
  <si>
    <t>SBF-SEM: none</t>
  </si>
  <si>
    <t>Volume; scaling, Volume fraction; Positioning/Distance; Shape</t>
  </si>
  <si>
    <t xml:space="preserve">organelle #/size scaling with cell; volume fraction, spatial distribution &amp; inter-organelle distance; shape/shape variation (short/long axis &amp; AR) </t>
  </si>
  <si>
    <t>Cell Cycle; Metabolic; Environmental</t>
  </si>
  <si>
    <t>light-dark/dark-light transitions/cell cycle stages</t>
  </si>
  <si>
    <t>Volume, Volume fraction; SA</t>
  </si>
  <si>
    <t>organelle volume, % volume, &amp; surface area</t>
  </si>
  <si>
    <t>haploid/diploid, cell cycle stages, daughter/mother; WT strains (supp)</t>
  </si>
  <si>
    <t xml:space="preserve">Density; Volume; Volume fraction; SA; </t>
  </si>
  <si>
    <t>LAC, volume (range, avg, %), SA; N:Nuc vol ratio</t>
  </si>
  <si>
    <t>G1/S vs G2</t>
  </si>
  <si>
    <t>SA, Volume, Count</t>
  </si>
  <si>
    <t>area, volume, counts</t>
  </si>
  <si>
    <t>single- vs bi-nucleated cells</t>
  </si>
  <si>
    <t xml:space="preserve">Volume, Volume fraction, Count, SA </t>
  </si>
  <si>
    <t>volume, volume %, counts, SA?</t>
  </si>
  <si>
    <t>G1 vs budding - cell cycle</t>
  </si>
  <si>
    <t>Volume, Volume fraction; Density</t>
  </si>
  <si>
    <t xml:space="preserve">volume, % volume, LAC </t>
  </si>
  <si>
    <t>G1 vs early G1</t>
  </si>
  <si>
    <t>Count; Volume, Volume fraction; Dimensions; Positioning/Distance</t>
  </si>
  <si>
    <t>counts, volume, %volume, propl vol composition, length, diameter, distances</t>
  </si>
  <si>
    <t>light/dark</t>
  </si>
  <si>
    <t>Volume, Volume fraction, Dimensions, Contact/Association, SA</t>
  </si>
  <si>
    <t>organelle volume &amp; volume ratio, length/bounding box, number of free vs complexed organelles, proximity area and sites, SA</t>
  </si>
  <si>
    <t>Cell Type</t>
  </si>
  <si>
    <t>volume/size distribution of organelles over time</t>
  </si>
  <si>
    <t>2 strains: WT CC125 &amp; cw15+</t>
  </si>
  <si>
    <t>volume &amp; % volume (text only)</t>
  </si>
  <si>
    <t>Volume, Volume fraction; count; Positioning/Distance; Dimensions</t>
  </si>
  <si>
    <t>volume and volume percent (nucleus, cell), organelle counts, distance/distribution along A-B axis, organelle dimensions (bounding box)</t>
  </si>
  <si>
    <t>mitochondria volume</t>
  </si>
  <si>
    <t>Stressor; Methodology</t>
  </si>
  <si>
    <t>heat shock, imaging modalities</t>
  </si>
  <si>
    <t>Volume, SA, Density</t>
  </si>
  <si>
    <t xml:space="preserve">LAC </t>
  </si>
  <si>
    <t>two cells</t>
  </si>
  <si>
    <t>Count; Dimensions; Volume; SA; Positioning/Distance</t>
  </si>
  <si>
    <t>count, morphology, length, diameter, volume, SA, proximity distribution analysis between organelles</t>
  </si>
  <si>
    <t>organelle size; non-quantitative observations</t>
  </si>
  <si>
    <t>Density; Volume, Volume fraction</t>
  </si>
  <si>
    <t xml:space="preserve">cell density, nucleus volume and %vol, </t>
  </si>
  <si>
    <t xml:space="preserve">Methodology  </t>
  </si>
  <si>
    <t>chemically vs cryofixed cells</t>
  </si>
  <si>
    <t>Contact/Association; Positioning/Distance; SA; Volume</t>
  </si>
  <si>
    <t xml:space="preserve"> organelle association rate, distance, organelle surface area and volume, organelle assoc:SA </t>
  </si>
  <si>
    <t>Metabolic; Stressor</t>
  </si>
  <si>
    <t>Methodology; Life Cycle</t>
  </si>
  <si>
    <t xml:space="preserve">Other: stages of RBC invasion </t>
  </si>
  <si>
    <t>Volume, Volume fraction, Count, SA, Dimensions, Contact/Association</t>
  </si>
  <si>
    <t>volume, % volume, copy number, SA, diameter, associations/contacts</t>
  </si>
  <si>
    <t>pumpkin vs tobacco cell</t>
  </si>
  <si>
    <t>Volume, Count, Volume fraction</t>
  </si>
  <si>
    <t>volumes, counts, %volume</t>
  </si>
  <si>
    <t>Metabolic; Environmental; Cell Type</t>
  </si>
  <si>
    <t>low-high light; photo- vs mixotrophy; species</t>
  </si>
  <si>
    <t>Volume, Volume fraction, SA, Shape, Contact/Association</t>
  </si>
  <si>
    <t>volume occupancy; volume &amp; SA scaling relationships; % organelle proximity; sub-organelle compartment volume</t>
  </si>
  <si>
    <t>cytokinesis</t>
  </si>
  <si>
    <t>counts of organelle associations (apical buds-nuclei)</t>
  </si>
  <si>
    <t>Stressor; Metabolic</t>
  </si>
  <si>
    <t>cytoskeleton drugs (Noc), time points, metabolic state (HBSS starvation, excess oleic acid)</t>
  </si>
  <si>
    <t>Contact/Association; Positioning/Distance; Volume, Volume fraction</t>
  </si>
  <si>
    <t>interorganelle contact frequency, spatial distribution of voxels, distance from nucleus/surface, proportion of cell volume occupied, organelle mean counts/cell, volume, speed</t>
  </si>
  <si>
    <t xml:space="preserve">Cell type </t>
  </si>
  <si>
    <t>cell type (hESC vs hAEC)</t>
  </si>
  <si>
    <t>Density, Volume; SA</t>
  </si>
  <si>
    <t>&gt;=1 (LAC and organelle vol, SA, but unclear if from whole cells)</t>
  </si>
  <si>
    <t>Metabolic; Morphology</t>
  </si>
  <si>
    <t xml:space="preserve">Other: photosynthetic growth, cell size (increases across cell growth stages) </t>
  </si>
  <si>
    <t>cell cycle stages (8)</t>
  </si>
  <si>
    <t>Volume; Dimension; Positioning/Distance; Count</t>
  </si>
  <si>
    <t>volume, length, inter-structure distance, counts/frequencies</t>
  </si>
  <si>
    <t>B lymphocyte (GM12878)</t>
  </si>
  <si>
    <t>Perox</t>
  </si>
  <si>
    <t>humT</t>
  </si>
  <si>
    <t>J744A</t>
  </si>
  <si>
    <t xml:space="preserve">ZbLP </t>
  </si>
  <si>
    <t xml:space="preserve">ZbTh </t>
  </si>
  <si>
    <t>ZbSk</t>
  </si>
  <si>
    <t>ZbSup</t>
  </si>
  <si>
    <t>ZbRPE</t>
  </si>
  <si>
    <t>MsMac</t>
  </si>
  <si>
    <t>Isotropy</t>
  </si>
  <si>
    <t>EM</t>
  </si>
  <si>
    <t>X-ray</t>
  </si>
  <si>
    <t>Light</t>
  </si>
  <si>
    <t>Type</t>
  </si>
  <si>
    <t>% isotropy</t>
  </si>
  <si>
    <t>total EM</t>
  </si>
  <si>
    <t>total Xray</t>
  </si>
  <si>
    <t>total Light</t>
  </si>
  <si>
    <t>Tech/N=1</t>
  </si>
  <si>
    <t>Research articles</t>
  </si>
  <si>
    <t>Summary</t>
  </si>
  <si>
    <t>Book chapters</t>
  </si>
  <si>
    <t>Technical articles</t>
  </si>
  <si>
    <t>N=1</t>
  </si>
  <si>
    <t>sum</t>
  </si>
  <si>
    <t>SS certain</t>
  </si>
  <si>
    <t>Organelle</t>
  </si>
  <si>
    <t>N+M</t>
  </si>
  <si>
    <t>N+V/L</t>
  </si>
  <si>
    <t>N+ER</t>
  </si>
  <si>
    <t>N+LD</t>
  </si>
  <si>
    <t>N+G</t>
  </si>
  <si>
    <t>N+Pl</t>
  </si>
  <si>
    <t>N+Ve</t>
  </si>
  <si>
    <t>N+C</t>
  </si>
  <si>
    <t>N+Px</t>
  </si>
  <si>
    <t>N+Cn</t>
  </si>
  <si>
    <t>N+E</t>
  </si>
  <si>
    <t>N+MVB</t>
  </si>
  <si>
    <t>N+A</t>
  </si>
  <si>
    <t>M+V/L</t>
  </si>
  <si>
    <t>M+ER</t>
  </si>
  <si>
    <t>M+LD</t>
  </si>
  <si>
    <t>M+G</t>
  </si>
  <si>
    <t>M+Pl</t>
  </si>
  <si>
    <t>M+Ve</t>
  </si>
  <si>
    <t>M+C</t>
  </si>
  <si>
    <t>M+Px</t>
  </si>
  <si>
    <t>M+Cn</t>
  </si>
  <si>
    <t>M+E</t>
  </si>
  <si>
    <t>M+MVB</t>
  </si>
  <si>
    <t>M+A</t>
  </si>
  <si>
    <t>V/L+ER</t>
  </si>
  <si>
    <t>V/L+LD</t>
  </si>
  <si>
    <t>V/L+G</t>
  </si>
  <si>
    <t>V/L+Pl</t>
  </si>
  <si>
    <t>V/L+Ve</t>
  </si>
  <si>
    <t>V/L+C</t>
  </si>
  <si>
    <t>V/L+Px</t>
  </si>
  <si>
    <t>V/L+Cn</t>
  </si>
  <si>
    <t>V/L+E</t>
  </si>
  <si>
    <t>V/L+MVB</t>
  </si>
  <si>
    <t>V/L+A</t>
  </si>
  <si>
    <t>ER+LD</t>
  </si>
  <si>
    <t>ER+G</t>
  </si>
  <si>
    <t>ER+Pl</t>
  </si>
  <si>
    <t>ER+Ve</t>
  </si>
  <si>
    <t>ER+C</t>
  </si>
  <si>
    <t>ER+Px</t>
  </si>
  <si>
    <t>ER+Cn</t>
  </si>
  <si>
    <t>ER+E</t>
  </si>
  <si>
    <t>ER+MVB</t>
  </si>
  <si>
    <t>ER+A</t>
  </si>
  <si>
    <t>LD+G</t>
  </si>
  <si>
    <t>LD+Pl</t>
  </si>
  <si>
    <t>LD+Ve</t>
  </si>
  <si>
    <t>LD+C</t>
  </si>
  <si>
    <t>LD+Px</t>
  </si>
  <si>
    <t>LD+Cn</t>
  </si>
  <si>
    <t>LD+E</t>
  </si>
  <si>
    <t>LD+MVB</t>
  </si>
  <si>
    <t>LD+A</t>
  </si>
  <si>
    <t>G+Pl</t>
  </si>
  <si>
    <t>G+Ve</t>
  </si>
  <si>
    <t>G+C</t>
  </si>
  <si>
    <t>G+Px</t>
  </si>
  <si>
    <t>G+Cn</t>
  </si>
  <si>
    <t>G+E</t>
  </si>
  <si>
    <t>G+MVB</t>
  </si>
  <si>
    <t>G+A</t>
  </si>
  <si>
    <t>Pl+Ve</t>
  </si>
  <si>
    <t>Pl+C</t>
  </si>
  <si>
    <t>Pl+Px</t>
  </si>
  <si>
    <t>Pl+Cn</t>
  </si>
  <si>
    <t>Pl+E</t>
  </si>
  <si>
    <t>Pl+MVB</t>
  </si>
  <si>
    <t>Pl+A</t>
  </si>
  <si>
    <t>Ve+C</t>
  </si>
  <si>
    <t>Ve+Px</t>
  </si>
  <si>
    <t>Ve+Cn</t>
  </si>
  <si>
    <t>Ve+E</t>
  </si>
  <si>
    <t>Ve+MVB</t>
  </si>
  <si>
    <t>Ve+A</t>
  </si>
  <si>
    <t>C+Px</t>
  </si>
  <si>
    <t>C+Cn</t>
  </si>
  <si>
    <t>C+E</t>
  </si>
  <si>
    <t>C+MVB</t>
  </si>
  <si>
    <t>C+A</t>
  </si>
  <si>
    <t>Px+Cn</t>
  </si>
  <si>
    <t>Px+E</t>
  </si>
  <si>
    <t>Px+MVB</t>
  </si>
  <si>
    <t>Px+A</t>
  </si>
  <si>
    <t>Cn+E</t>
  </si>
  <si>
    <t>Cn+MVB</t>
  </si>
  <si>
    <t>Cn+A</t>
  </si>
  <si>
    <t>E+MVB</t>
  </si>
  <si>
    <t>E+A</t>
  </si>
  <si>
    <t>MVB+A</t>
  </si>
  <si>
    <t>Combinations</t>
  </si>
  <si>
    <t>Ferreira 2008; Girard-Dias 2012; Ramos 2011</t>
  </si>
  <si>
    <t>Gluenz 2015; Hughes 2017</t>
  </si>
  <si>
    <r>
      <rPr>
        <i/>
        <sz val="11"/>
        <color theme="1"/>
        <rFont val="Calibri"/>
        <family val="2"/>
        <scheme val="minor"/>
      </rPr>
      <t>Trypanosoma</t>
    </r>
    <r>
      <rPr>
        <sz val="11"/>
        <color theme="1"/>
        <rFont val="Calibri"/>
        <family val="2"/>
        <scheme val="minor"/>
      </rPr>
      <t xml:space="preserve"> (currawong)</t>
    </r>
  </si>
  <si>
    <r>
      <rPr>
        <i/>
        <sz val="11"/>
        <color theme="1"/>
        <rFont val="Calibri"/>
        <family val="2"/>
        <scheme val="minor"/>
      </rPr>
      <t>Plasmodium chaubadi</t>
    </r>
    <r>
      <rPr>
        <sz val="11"/>
        <color theme="1"/>
        <rFont val="Calibri"/>
        <family val="2"/>
        <scheme val="minor"/>
      </rPr>
      <t xml:space="preserve"> </t>
    </r>
  </si>
  <si>
    <r>
      <rPr>
        <i/>
        <sz val="11"/>
        <color theme="1"/>
        <rFont val="Calibri"/>
        <family val="2"/>
        <scheme val="minor"/>
      </rPr>
      <t>Crithidia deanei</t>
    </r>
    <r>
      <rPr>
        <sz val="11"/>
        <color theme="1"/>
        <rFont val="Calibri"/>
        <family val="2"/>
        <scheme val="minor"/>
      </rPr>
      <t xml:space="preserve"> </t>
    </r>
  </si>
  <si>
    <t>Koutsogiannis 2023; Paredes-Santos 2012</t>
  </si>
  <si>
    <t>Hanssen 2010; Hanssen 2013; Hohmann-Marriott 2009; Rudlaff 2020; Sakaguchi 2016</t>
  </si>
  <si>
    <t>Decelle 2019; Uwizeye 2021b</t>
  </si>
  <si>
    <t>Deng 2018; Diaz 2015; Hummel 2012; Xu 2024</t>
  </si>
  <si>
    <r>
      <rPr>
        <i/>
        <sz val="11"/>
        <color theme="1"/>
        <rFont val="Calibri"/>
        <family val="2"/>
        <scheme val="minor"/>
      </rPr>
      <t>Oryza sativa,</t>
    </r>
    <r>
      <rPr>
        <sz val="11"/>
        <color theme="1"/>
        <rFont val="Calibri"/>
        <family val="2"/>
        <scheme val="minor"/>
      </rPr>
      <t xml:space="preserve"> mesophyll</t>
    </r>
  </si>
  <si>
    <r>
      <rPr>
        <i/>
        <sz val="11"/>
        <color theme="1"/>
        <rFont val="Calibri"/>
        <family val="2"/>
        <scheme val="minor"/>
      </rPr>
      <t>Arabidopsis thaliana</t>
    </r>
    <r>
      <rPr>
        <sz val="11"/>
        <color theme="1"/>
        <rFont val="Calibri"/>
        <family val="2"/>
        <scheme val="minor"/>
      </rPr>
      <t xml:space="preserve">, mesophyll </t>
    </r>
  </si>
  <si>
    <r>
      <rPr>
        <i/>
        <sz val="11"/>
        <color theme="1"/>
        <rFont val="Calibri"/>
        <family val="2"/>
        <scheme val="minor"/>
      </rPr>
      <t>Arabidopsis thaliana,</t>
    </r>
    <r>
      <rPr>
        <sz val="11"/>
        <color theme="1"/>
        <rFont val="Calibri"/>
        <family val="2"/>
        <scheme val="minor"/>
      </rPr>
      <t xml:space="preserve"> guard cell</t>
    </r>
  </si>
  <si>
    <r>
      <rPr>
        <i/>
        <sz val="11"/>
        <color theme="1"/>
        <rFont val="Calibri"/>
        <family val="2"/>
        <scheme val="minor"/>
      </rPr>
      <t>Arabidopsis thaliana</t>
    </r>
    <r>
      <rPr>
        <sz val="11"/>
        <color theme="1"/>
        <rFont val="Calibri"/>
        <family val="2"/>
        <scheme val="minor"/>
      </rPr>
      <t>, cortical root</t>
    </r>
  </si>
  <si>
    <t>Jiang 2010; Parkinson 2008; Zheng 2012</t>
  </si>
  <si>
    <t>Bianco 2023; Carlson 2013;Egebjerg 2024; Kichuk 2024; Larabell 2004; Murata 2014; Perktold 2007; Uchida 2011; Wei 2012;Wu 2020; Yamaguchi 2011</t>
  </si>
  <si>
    <t>Liu 2018; Dang 2023</t>
  </si>
  <si>
    <r>
      <rPr>
        <i/>
        <sz val="11"/>
        <color theme="1"/>
        <rFont val="Calibri"/>
        <family val="2"/>
        <scheme val="minor"/>
      </rPr>
      <t>Salpingoeca rosetta</t>
    </r>
    <r>
      <rPr>
        <sz val="11"/>
        <color theme="1"/>
        <rFont val="Calibri"/>
        <family val="2"/>
        <scheme val="minor"/>
      </rPr>
      <t xml:space="preserve"> </t>
    </r>
  </si>
  <si>
    <r>
      <rPr>
        <i/>
        <sz val="11"/>
        <color theme="1"/>
        <rFont val="Calibri"/>
        <family val="2"/>
        <scheme val="minor"/>
      </rPr>
      <t>Oscarella carmela</t>
    </r>
    <r>
      <rPr>
        <sz val="11"/>
        <color theme="1"/>
        <rFont val="Calibri"/>
        <family val="2"/>
        <scheme val="minor"/>
      </rPr>
      <t>, choanocytes</t>
    </r>
  </si>
  <si>
    <r>
      <t xml:space="preserve">Danio rerio, </t>
    </r>
    <r>
      <rPr>
        <sz val="11"/>
        <color theme="1"/>
        <rFont val="Calibri"/>
        <family val="2"/>
        <scheme val="minor"/>
      </rPr>
      <t>"long process" cell</t>
    </r>
  </si>
  <si>
    <r>
      <t xml:space="preserve">Danio rerio, </t>
    </r>
    <r>
      <rPr>
        <sz val="11"/>
        <color theme="1"/>
        <rFont val="Calibri"/>
        <family val="2"/>
        <scheme val="minor"/>
      </rPr>
      <t>"cogwheel" cell</t>
    </r>
  </si>
  <si>
    <r>
      <rPr>
        <i/>
        <sz val="11"/>
        <color theme="1"/>
        <rFont val="Calibri"/>
        <family val="2"/>
        <scheme val="minor"/>
      </rPr>
      <t xml:space="preserve">Danio rerio, </t>
    </r>
    <r>
      <rPr>
        <sz val="11"/>
        <color theme="1"/>
        <rFont val="Calibri"/>
        <family val="2"/>
        <scheme val="minor"/>
      </rPr>
      <t>thymus</t>
    </r>
  </si>
  <si>
    <r>
      <rPr>
        <i/>
        <sz val="11"/>
        <color theme="1"/>
        <rFont val="Calibri"/>
        <family val="2"/>
        <scheme val="minor"/>
      </rPr>
      <t>Danio rerio,</t>
    </r>
    <r>
      <rPr>
        <sz val="11"/>
        <color theme="1"/>
        <rFont val="Calibri"/>
        <family val="2"/>
        <scheme val="minor"/>
      </rPr>
      <t xml:space="preserve"> neural progenitor cell</t>
    </r>
  </si>
  <si>
    <r>
      <rPr>
        <i/>
        <sz val="11"/>
        <color theme="1"/>
        <rFont val="Calibri"/>
        <family val="2"/>
        <scheme val="minor"/>
      </rPr>
      <t xml:space="preserve">Danio rerio, </t>
    </r>
    <r>
      <rPr>
        <sz val="11"/>
        <color theme="1"/>
        <rFont val="Calibri"/>
        <family val="2"/>
        <scheme val="minor"/>
      </rPr>
      <t>lens cell</t>
    </r>
  </si>
  <si>
    <r>
      <rPr>
        <i/>
        <sz val="11"/>
        <color theme="1"/>
        <rFont val="Calibri"/>
        <family val="2"/>
        <scheme val="minor"/>
      </rPr>
      <t>Danio rerio,</t>
    </r>
    <r>
      <rPr>
        <sz val="11"/>
        <color theme="1"/>
        <rFont val="Calibri"/>
        <family val="2"/>
        <scheme val="minor"/>
      </rPr>
      <t xml:space="preserve"> skin cell</t>
    </r>
  </si>
  <si>
    <r>
      <rPr>
        <i/>
        <sz val="11"/>
        <color theme="1"/>
        <rFont val="Calibri"/>
        <family val="2"/>
        <scheme val="minor"/>
      </rPr>
      <t>Danio rerio,</t>
    </r>
    <r>
      <rPr>
        <sz val="11"/>
        <color theme="1"/>
        <rFont val="Calibri"/>
        <family val="2"/>
        <scheme val="minor"/>
      </rPr>
      <t xml:space="preserve"> hair cells</t>
    </r>
  </si>
  <si>
    <r>
      <rPr>
        <i/>
        <sz val="11"/>
        <color theme="1"/>
        <rFont val="Calibri"/>
        <family val="2"/>
        <scheme val="minor"/>
      </rPr>
      <t>Danio rerio</t>
    </r>
    <r>
      <rPr>
        <sz val="11"/>
        <color theme="1"/>
        <rFont val="Calibri"/>
        <family val="2"/>
        <scheme val="minor"/>
      </rPr>
      <t>, supporting cells</t>
    </r>
  </si>
  <si>
    <r>
      <rPr>
        <i/>
        <sz val="11"/>
        <color theme="1"/>
        <rFont val="Calibri"/>
        <family val="2"/>
        <scheme val="minor"/>
      </rPr>
      <t>Danio rerio,</t>
    </r>
    <r>
      <rPr>
        <sz val="11"/>
        <color theme="1"/>
        <rFont val="Calibri"/>
        <family val="2"/>
        <scheme val="minor"/>
      </rPr>
      <t xml:space="preserve"> retinal neuroepithelial cell</t>
    </r>
  </si>
  <si>
    <r>
      <t xml:space="preserve">Danio rerio, </t>
    </r>
    <r>
      <rPr>
        <sz val="11"/>
        <color theme="1"/>
        <rFont val="Calibri"/>
        <family val="2"/>
        <scheme val="minor"/>
      </rPr>
      <t>cytotoxic T cell</t>
    </r>
  </si>
  <si>
    <r>
      <t xml:space="preserve">Danio rerio, </t>
    </r>
    <r>
      <rPr>
        <sz val="11"/>
        <color theme="1"/>
        <rFont val="Calibri"/>
        <family val="2"/>
        <scheme val="minor"/>
      </rPr>
      <t>adrenal medulla neutrophil</t>
    </r>
  </si>
  <si>
    <r>
      <t>C57BL/6 (</t>
    </r>
    <r>
      <rPr>
        <i/>
        <sz val="11"/>
        <color theme="1"/>
        <rFont val="Calibri"/>
        <family val="2"/>
        <scheme val="minor"/>
      </rPr>
      <t>M. musculus</t>
    </r>
    <r>
      <rPr>
        <sz val="11"/>
        <color theme="1"/>
        <rFont val="Calibri"/>
        <family val="2"/>
        <scheme val="minor"/>
      </rPr>
      <t>)</t>
    </r>
  </si>
  <si>
    <t>White 2020; Loconte 2022; Li 2022</t>
  </si>
  <si>
    <t>INS-1E (R. norvegicus)</t>
  </si>
  <si>
    <r>
      <rPr>
        <i/>
        <sz val="11"/>
        <color theme="1"/>
        <rFont val="Calibri"/>
        <family val="2"/>
        <scheme val="minor"/>
      </rPr>
      <t>R. norvegicus</t>
    </r>
    <r>
      <rPr>
        <sz val="11"/>
        <color theme="1"/>
        <rFont val="Calibri"/>
        <family val="2"/>
        <scheme val="minor"/>
      </rPr>
      <t>, hepatocyte</t>
    </r>
  </si>
  <si>
    <r>
      <rPr>
        <i/>
        <sz val="11"/>
        <color theme="1"/>
        <rFont val="Calibri"/>
        <family val="2"/>
        <scheme val="minor"/>
      </rPr>
      <t>M. musculus,</t>
    </r>
    <r>
      <rPr>
        <sz val="11"/>
        <color theme="1"/>
        <rFont val="Calibri"/>
        <family val="2"/>
        <scheme val="minor"/>
      </rPr>
      <t xml:space="preserve"> macrophage</t>
    </r>
  </si>
  <si>
    <r>
      <rPr>
        <i/>
        <sz val="11"/>
        <color theme="1"/>
        <rFont val="Calibri"/>
        <family val="2"/>
        <scheme val="minor"/>
      </rPr>
      <t>M. musculus</t>
    </r>
    <r>
      <rPr>
        <sz val="11"/>
        <color theme="1"/>
        <rFont val="Calibri"/>
        <family val="2"/>
        <scheme val="minor"/>
      </rPr>
      <t>, alpha cell</t>
    </r>
  </si>
  <si>
    <t>Noske 2008; Muller 2021; Deshmukh 2024</t>
  </si>
  <si>
    <t>M. musculus, beta cell</t>
  </si>
  <si>
    <r>
      <t>J774A.1 (</t>
    </r>
    <r>
      <rPr>
        <i/>
        <sz val="11"/>
        <color theme="1"/>
        <rFont val="Calibri"/>
        <family val="2"/>
        <scheme val="minor"/>
      </rPr>
      <t>M. musculus</t>
    </r>
    <r>
      <rPr>
        <sz val="11"/>
        <color theme="1"/>
        <rFont val="Calibri"/>
        <family val="2"/>
        <scheme val="minor"/>
      </rPr>
      <t>)</t>
    </r>
  </si>
  <si>
    <r>
      <t>Mm2T (</t>
    </r>
    <r>
      <rPr>
        <i/>
        <sz val="11"/>
        <color theme="1"/>
        <rFont val="Calibri"/>
        <family val="2"/>
        <scheme val="minor"/>
      </rPr>
      <t>Muntiacus muntjak</t>
    </r>
    <r>
      <rPr>
        <sz val="11"/>
        <color theme="1"/>
        <rFont val="Calibri"/>
        <family val="2"/>
        <scheme val="minor"/>
      </rPr>
      <t>)</t>
    </r>
  </si>
  <si>
    <r>
      <t>Vero (</t>
    </r>
    <r>
      <rPr>
        <i/>
        <sz val="11"/>
        <color theme="1"/>
        <rFont val="Calibri"/>
        <family val="2"/>
        <scheme val="minor"/>
      </rPr>
      <t>Cercopithecus aethiops</t>
    </r>
    <r>
      <rPr>
        <sz val="11"/>
        <color theme="1"/>
        <rFont val="Calibri"/>
        <family val="2"/>
        <scheme val="minor"/>
      </rPr>
      <t>)</t>
    </r>
  </si>
  <si>
    <t>Valm 2017; Hoffman 2020</t>
  </si>
  <si>
    <t>COS-7 (Cercopithecus aethiops)</t>
  </si>
  <si>
    <t>Pokrovskaya 2020; Matharu 2023</t>
  </si>
  <si>
    <t>Loconte 2021; Chen 2022</t>
  </si>
  <si>
    <t>Fogelqvist 2017; Loconte 2021</t>
  </si>
  <si>
    <t>Condensed by cell type: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</si>
</sst>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FFFF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72B2"/>
        <bgColor indexed="64"/>
      </patternFill>
    </fill>
    <fill>
      <patternFill patternType="solid">
        <fgColor rgb="FF4DAF4A"/>
        <bgColor indexed="64"/>
      </patternFill>
    </fill>
    <fill>
      <patternFill patternType="solid">
        <fgColor rgb="FF6C46DE"/>
        <bgColor indexed="64"/>
      </patternFill>
    </fill>
    <fill>
      <patternFill patternType="solid">
        <fgColor rgb="FFC44601"/>
        <bgColor indexed="64"/>
      </patternFill>
    </fill>
    <fill>
      <patternFill patternType="solid">
        <fgColor rgb="FF009E73"/>
        <bgColor indexed="64"/>
      </patternFill>
    </fill>
    <fill>
      <patternFill patternType="solid">
        <fgColor rgb="FF56B4E9"/>
        <bgColor indexed="64"/>
      </patternFill>
    </fill>
    <fill>
      <patternFill patternType="solid">
        <fgColor rgb="FFFAC72D"/>
        <bgColor indexed="64"/>
      </patternFill>
    </fill>
    <fill>
      <patternFill patternType="solid">
        <fgColor rgb="FFAD2EC2"/>
        <bgColor indexed="64"/>
      </patternFill>
    </fill>
    <fill>
      <patternFill patternType="solid">
        <fgColor rgb="FFFF7F00"/>
        <bgColor indexed="64"/>
      </patternFill>
    </fill>
    <fill>
      <patternFill patternType="solid">
        <fgColor rgb="FFFAAF90"/>
        <bgColor indexed="64"/>
      </patternFill>
    </fill>
    <fill>
      <patternFill patternType="solid">
        <fgColor rgb="FFF93B3B"/>
        <bgColor indexed="64"/>
      </patternFill>
    </fill>
    <fill>
      <patternFill patternType="solid">
        <fgColor rgb="FF88888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88888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4">
    <xf numFmtId="0" fontId="0" fillId="0" borderId="0" xfId="0"/>
    <xf numFmtId="16" fontId="0" fillId="0" borderId="0" xfId="0" applyNumberFormat="1"/>
    <xf numFmtId="0" fontId="16" fillId="0" borderId="0" xfId="0" applyFont="1"/>
    <xf numFmtId="0" fontId="0" fillId="34" borderId="0" xfId="0" applyFill="1"/>
    <xf numFmtId="0" fontId="0" fillId="0" borderId="10" xfId="0" applyBorder="1"/>
    <xf numFmtId="0" fontId="0" fillId="0" borderId="11" xfId="0" applyBorder="1"/>
    <xf numFmtId="0" fontId="16" fillId="0" borderId="0" xfId="0" applyFont="1" applyAlignment="1">
      <alignment horizontal="center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8" fillId="0" borderId="0" xfId="0" applyFont="1" applyAlignment="1">
      <alignment wrapText="1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2" fontId="0" fillId="0" borderId="0" xfId="0" applyNumberFormat="1"/>
    <xf numFmtId="2" fontId="0" fillId="0" borderId="13" xfId="0" applyNumberFormat="1" applyBorder="1"/>
    <xf numFmtId="2" fontId="0" fillId="0" borderId="12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33" borderId="0" xfId="0" applyFill="1"/>
    <xf numFmtId="0" fontId="0" fillId="0" borderId="0" xfId="0" quotePrefix="1"/>
    <xf numFmtId="0" fontId="0" fillId="35" borderId="0" xfId="0" applyFill="1"/>
    <xf numFmtId="0" fontId="0" fillId="36" borderId="0" xfId="0" applyFill="1"/>
    <xf numFmtId="49" fontId="16" fillId="0" borderId="0" xfId="0" applyNumberFormat="1" applyFont="1" applyAlignment="1">
      <alignment horizontal="center"/>
    </xf>
    <xf numFmtId="2" fontId="0" fillId="0" borderId="12" xfId="0" applyNumberFormat="1" applyBorder="1"/>
    <xf numFmtId="49" fontId="0" fillId="0" borderId="0" xfId="0" applyNumberFormat="1" applyAlignment="1">
      <alignment horizontal="center"/>
    </xf>
    <xf numFmtId="49" fontId="16" fillId="0" borderId="0" xfId="0" applyNumberFormat="1" applyFont="1"/>
    <xf numFmtId="49" fontId="0" fillId="0" borderId="0" xfId="0" applyNumberFormat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quotePrefix="1" applyFill="1"/>
    <xf numFmtId="2" fontId="16" fillId="0" borderId="0" xfId="0" applyNumberFormat="1" applyFont="1"/>
    <xf numFmtId="0" fontId="20" fillId="47" borderId="14" xfId="0" applyFont="1" applyFill="1" applyBorder="1" applyAlignment="1">
      <alignment horizontal="left" vertical="center" wrapText="1" readingOrder="1"/>
    </xf>
    <xf numFmtId="0" fontId="20" fillId="47" borderId="14" xfId="0" applyFont="1" applyFill="1" applyBorder="1" applyAlignment="1">
      <alignment horizontal="center" vertical="center" wrapText="1" readingOrder="1"/>
    </xf>
    <xf numFmtId="0" fontId="21" fillId="48" borderId="15" xfId="0" applyFont="1" applyFill="1" applyBorder="1" applyAlignment="1">
      <alignment horizontal="left" vertical="center" wrapText="1" readingOrder="1"/>
    </xf>
    <xf numFmtId="0" fontId="21" fillId="48" borderId="15" xfId="0" applyFont="1" applyFill="1" applyBorder="1" applyAlignment="1">
      <alignment horizontal="center" vertical="center" wrapText="1" readingOrder="1"/>
    </xf>
    <xf numFmtId="0" fontId="22" fillId="49" borderId="16" xfId="0" applyFont="1" applyFill="1" applyBorder="1" applyAlignment="1">
      <alignment horizontal="left" vertical="center" wrapText="1" readingOrder="1"/>
    </xf>
    <xf numFmtId="0" fontId="21" fillId="49" borderId="16" xfId="0" applyFont="1" applyFill="1" applyBorder="1" applyAlignment="1">
      <alignment horizontal="center" vertical="center" wrapText="1" readingOrder="1"/>
    </xf>
    <xf numFmtId="0" fontId="22" fillId="48" borderId="16" xfId="0" applyFont="1" applyFill="1" applyBorder="1" applyAlignment="1">
      <alignment horizontal="left" vertical="center" wrapText="1" readingOrder="1"/>
    </xf>
    <xf numFmtId="0" fontId="21" fillId="48" borderId="16" xfId="0" applyFont="1" applyFill="1" applyBorder="1" applyAlignment="1">
      <alignment horizontal="center" vertical="center" wrapText="1" readingOrder="1"/>
    </xf>
    <xf numFmtId="0" fontId="21" fillId="48" borderId="16" xfId="0" applyFont="1" applyFill="1" applyBorder="1" applyAlignment="1">
      <alignment horizontal="left" vertical="center" wrapText="1" readingOrder="1"/>
    </xf>
    <xf numFmtId="0" fontId="21" fillId="49" borderId="16" xfId="0" applyFont="1" applyFill="1" applyBorder="1" applyAlignment="1">
      <alignment horizontal="left" vertical="center" wrapText="1" readingOrder="1"/>
    </xf>
    <xf numFmtId="0" fontId="0" fillId="50" borderId="0" xfId="0" applyFill="1"/>
    <xf numFmtId="0" fontId="0" fillId="50" borderId="0" xfId="0" applyFill="1" applyAlignment="1">
      <alignment horizontal="center"/>
    </xf>
    <xf numFmtId="0" fontId="0" fillId="51" borderId="0" xfId="0" applyFill="1" applyAlignment="1">
      <alignment horizontal="left"/>
    </xf>
    <xf numFmtId="2" fontId="0" fillId="39" borderId="12" xfId="0" applyNumberFormat="1" applyFill="1" applyBorder="1" applyAlignment="1">
      <alignment horizontal="center"/>
    </xf>
    <xf numFmtId="2" fontId="0" fillId="39" borderId="0" xfId="0" applyNumberFormat="1" applyFill="1" applyAlignment="1">
      <alignment horizontal="center"/>
    </xf>
    <xf numFmtId="2" fontId="0" fillId="36" borderId="12" xfId="0" applyNumberFormat="1" applyFill="1" applyBorder="1" applyAlignment="1">
      <alignment horizontal="center"/>
    </xf>
    <xf numFmtId="2" fontId="0" fillId="36" borderId="0" xfId="0" applyNumberFormat="1" applyFill="1" applyAlignment="1">
      <alignment horizontal="center"/>
    </xf>
    <xf numFmtId="49" fontId="0" fillId="35" borderId="0" xfId="0" applyNumberFormat="1" applyFill="1" applyAlignment="1">
      <alignment horizontal="center"/>
    </xf>
    <xf numFmtId="2" fontId="0" fillId="35" borderId="12" xfId="0" applyNumberFormat="1" applyFill="1" applyBorder="1" applyAlignment="1">
      <alignment horizontal="center"/>
    </xf>
    <xf numFmtId="2" fontId="0" fillId="35" borderId="0" xfId="0" applyNumberFormat="1" applyFill="1"/>
    <xf numFmtId="2" fontId="0" fillId="35" borderId="0" xfId="0" applyNumberFormat="1" applyFill="1" applyAlignment="1">
      <alignment horizontal="center"/>
    </xf>
    <xf numFmtId="2" fontId="0" fillId="35" borderId="13" xfId="0" applyNumberFormat="1" applyFill="1" applyBorder="1"/>
    <xf numFmtId="49" fontId="0" fillId="39" borderId="0" xfId="0" applyNumberFormat="1" applyFill="1" applyAlignment="1">
      <alignment horizontal="center"/>
    </xf>
    <xf numFmtId="2" fontId="0" fillId="39" borderId="0" xfId="0" applyNumberFormat="1" applyFill="1"/>
    <xf numFmtId="2" fontId="0" fillId="39" borderId="13" xfId="0" applyNumberFormat="1" applyFill="1" applyBorder="1"/>
    <xf numFmtId="49" fontId="0" fillId="36" borderId="0" xfId="0" applyNumberFormat="1" applyFill="1" applyAlignment="1">
      <alignment horizontal="center"/>
    </xf>
    <xf numFmtId="2" fontId="0" fillId="36" borderId="13" xfId="0" applyNumberFormat="1" applyFill="1" applyBorder="1"/>
    <xf numFmtId="2" fontId="0" fillId="36" borderId="0" xfId="0" applyNumberFormat="1" applyFill="1"/>
    <xf numFmtId="49" fontId="0" fillId="40" borderId="0" xfId="0" applyNumberFormat="1" applyFill="1" applyAlignment="1">
      <alignment horizontal="center"/>
    </xf>
    <xf numFmtId="2" fontId="0" fillId="40" borderId="12" xfId="0" applyNumberFormat="1" applyFill="1" applyBorder="1" applyAlignment="1">
      <alignment horizontal="center"/>
    </xf>
    <xf numFmtId="2" fontId="0" fillId="40" borderId="0" xfId="0" applyNumberFormat="1" applyFill="1"/>
    <xf numFmtId="2" fontId="0" fillId="40" borderId="0" xfId="0" applyNumberFormat="1" applyFill="1" applyAlignment="1">
      <alignment horizontal="center"/>
    </xf>
    <xf numFmtId="2" fontId="0" fillId="40" borderId="13" xfId="0" applyNumberFormat="1" applyFill="1" applyBorder="1"/>
    <xf numFmtId="49" fontId="0" fillId="37" borderId="0" xfId="0" applyNumberFormat="1" applyFill="1" applyAlignment="1">
      <alignment horizontal="center"/>
    </xf>
    <xf numFmtId="2" fontId="0" fillId="37" borderId="12" xfId="0" applyNumberFormat="1" applyFill="1" applyBorder="1" applyAlignment="1">
      <alignment horizontal="center"/>
    </xf>
    <xf numFmtId="2" fontId="0" fillId="37" borderId="0" xfId="0" applyNumberFormat="1" applyFill="1"/>
    <xf numFmtId="2" fontId="0" fillId="37" borderId="0" xfId="0" applyNumberFormat="1" applyFill="1" applyAlignment="1">
      <alignment horizontal="center"/>
    </xf>
    <xf numFmtId="2" fontId="0" fillId="37" borderId="13" xfId="0" applyNumberFormat="1" applyFill="1" applyBorder="1"/>
    <xf numFmtId="49" fontId="0" fillId="42" borderId="0" xfId="0" applyNumberFormat="1" applyFill="1" applyAlignment="1">
      <alignment horizontal="center"/>
    </xf>
    <xf numFmtId="2" fontId="0" fillId="42" borderId="12" xfId="0" applyNumberFormat="1" applyFill="1" applyBorder="1" applyAlignment="1">
      <alignment horizontal="center"/>
    </xf>
    <xf numFmtId="2" fontId="0" fillId="42" borderId="0" xfId="0" applyNumberFormat="1" applyFill="1"/>
    <xf numFmtId="2" fontId="0" fillId="42" borderId="0" xfId="0" applyNumberFormat="1" applyFill="1" applyAlignment="1">
      <alignment horizontal="center"/>
    </xf>
    <xf numFmtId="2" fontId="0" fillId="42" borderId="13" xfId="0" applyNumberFormat="1" applyFill="1" applyBorder="1"/>
    <xf numFmtId="49" fontId="0" fillId="38" borderId="0" xfId="0" applyNumberFormat="1" applyFill="1" applyAlignment="1">
      <alignment horizontal="center"/>
    </xf>
    <xf numFmtId="2" fontId="0" fillId="38" borderId="0" xfId="0" applyNumberFormat="1" applyFill="1" applyAlignment="1">
      <alignment horizontal="center"/>
    </xf>
    <xf numFmtId="2" fontId="0" fillId="38" borderId="13" xfId="0" applyNumberFormat="1" applyFill="1" applyBorder="1"/>
    <xf numFmtId="2" fontId="0" fillId="38" borderId="0" xfId="0" applyNumberFormat="1" applyFill="1"/>
    <xf numFmtId="2" fontId="0" fillId="38" borderId="12" xfId="0" applyNumberFormat="1" applyFill="1" applyBorder="1" applyAlignment="1">
      <alignment horizontal="center"/>
    </xf>
    <xf numFmtId="0" fontId="0" fillId="38" borderId="13" xfId="0" applyFill="1" applyBorder="1"/>
    <xf numFmtId="49" fontId="0" fillId="44" borderId="0" xfId="0" applyNumberFormat="1" applyFill="1" applyAlignment="1">
      <alignment horizontal="center"/>
    </xf>
    <xf numFmtId="2" fontId="0" fillId="44" borderId="0" xfId="0" applyNumberFormat="1" applyFill="1"/>
    <xf numFmtId="2" fontId="0" fillId="44" borderId="0" xfId="0" applyNumberFormat="1" applyFill="1" applyAlignment="1">
      <alignment horizontal="center"/>
    </xf>
    <xf numFmtId="49" fontId="0" fillId="41" borderId="0" xfId="0" applyNumberFormat="1" applyFill="1" applyAlignment="1">
      <alignment horizontal="center"/>
    </xf>
    <xf numFmtId="2" fontId="0" fillId="41" borderId="12" xfId="0" applyNumberFormat="1" applyFill="1" applyBorder="1" applyAlignment="1">
      <alignment horizontal="center"/>
    </xf>
    <xf numFmtId="2" fontId="0" fillId="41" borderId="0" xfId="0" applyNumberFormat="1" applyFill="1"/>
    <xf numFmtId="2" fontId="0" fillId="41" borderId="0" xfId="0" applyNumberFormat="1" applyFill="1" applyAlignment="1">
      <alignment horizontal="center"/>
    </xf>
    <xf numFmtId="2" fontId="0" fillId="41" borderId="13" xfId="0" applyNumberFormat="1" applyFill="1" applyBorder="1"/>
    <xf numFmtId="49" fontId="0" fillId="43" borderId="0" xfId="0" applyNumberFormat="1" applyFill="1" applyAlignment="1">
      <alignment horizontal="center"/>
    </xf>
    <xf numFmtId="2" fontId="0" fillId="43" borderId="12" xfId="0" applyNumberFormat="1" applyFill="1" applyBorder="1" applyAlignment="1">
      <alignment horizontal="center"/>
    </xf>
    <xf numFmtId="2" fontId="0" fillId="43" borderId="0" xfId="0" applyNumberFormat="1" applyFill="1"/>
    <xf numFmtId="2" fontId="0" fillId="43" borderId="0" xfId="0" applyNumberFormat="1" applyFill="1" applyAlignment="1">
      <alignment horizontal="center"/>
    </xf>
    <xf numFmtId="2" fontId="0" fillId="43" borderId="13" xfId="0" applyNumberFormat="1" applyFill="1" applyBorder="1"/>
    <xf numFmtId="2" fontId="0" fillId="44" borderId="12" xfId="0" applyNumberFormat="1" applyFill="1" applyBorder="1" applyAlignment="1">
      <alignment horizontal="center"/>
    </xf>
    <xf numFmtId="2" fontId="0" fillId="44" borderId="13" xfId="0" applyNumberFormat="1" applyFill="1" applyBorder="1"/>
    <xf numFmtId="0" fontId="0" fillId="38" borderId="12" xfId="0" applyFill="1" applyBorder="1"/>
    <xf numFmtId="0" fontId="0" fillId="52" borderId="0" xfId="0" applyFill="1"/>
    <xf numFmtId="0" fontId="0" fillId="52" borderId="0" xfId="0" quotePrefix="1" applyFill="1"/>
    <xf numFmtId="49" fontId="0" fillId="52" borderId="0" xfId="0" applyNumberFormat="1" applyFill="1" applyAlignment="1">
      <alignment horizontal="center"/>
    </xf>
    <xf numFmtId="2" fontId="0" fillId="52" borderId="12" xfId="0" applyNumberFormat="1" applyFill="1" applyBorder="1" applyAlignment="1">
      <alignment horizontal="center"/>
    </xf>
    <xf numFmtId="2" fontId="0" fillId="52" borderId="0" xfId="0" applyNumberFormat="1" applyFill="1"/>
    <xf numFmtId="2" fontId="0" fillId="52" borderId="0" xfId="0" applyNumberFormat="1" applyFill="1" applyAlignment="1">
      <alignment horizontal="center"/>
    </xf>
    <xf numFmtId="2" fontId="0" fillId="52" borderId="13" xfId="0" applyNumberFormat="1" applyFill="1" applyBorder="1"/>
    <xf numFmtId="0" fontId="0" fillId="40" borderId="12" xfId="0" applyFill="1" applyBorder="1"/>
    <xf numFmtId="49" fontId="0" fillId="45" borderId="0" xfId="0" applyNumberFormat="1" applyFill="1" applyAlignment="1">
      <alignment horizontal="center"/>
    </xf>
    <xf numFmtId="2" fontId="0" fillId="45" borderId="12" xfId="0" applyNumberFormat="1" applyFill="1" applyBorder="1" applyAlignment="1">
      <alignment horizontal="center"/>
    </xf>
    <xf numFmtId="2" fontId="0" fillId="45" borderId="0" xfId="0" applyNumberFormat="1" applyFill="1"/>
    <xf numFmtId="2" fontId="0" fillId="45" borderId="0" xfId="0" applyNumberFormat="1" applyFill="1" applyAlignment="1">
      <alignment horizontal="center"/>
    </xf>
    <xf numFmtId="2" fontId="0" fillId="45" borderId="13" xfId="0" applyNumberFormat="1" applyFill="1" applyBorder="1"/>
    <xf numFmtId="0" fontId="0" fillId="33" borderId="0" xfId="0" applyFill="1" applyAlignment="1">
      <alignment wrapText="1"/>
    </xf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18" fillId="33" borderId="0" xfId="0" applyFont="1" applyFill="1" applyAlignment="1">
      <alignment wrapText="1"/>
    </xf>
    <xf numFmtId="0" fontId="0" fillId="33" borderId="0" xfId="0" applyFill="1" applyAlignment="1">
      <alignment horizontal="center"/>
    </xf>
    <xf numFmtId="0" fontId="16" fillId="33" borderId="0" xfId="0" applyFont="1" applyFill="1" applyAlignment="1">
      <alignment horizontal="center"/>
    </xf>
    <xf numFmtId="0" fontId="18" fillId="54" borderId="0" xfId="0" applyFont="1" applyFill="1" applyAlignment="1">
      <alignment wrapText="1"/>
    </xf>
    <xf numFmtId="0" fontId="0" fillId="54" borderId="0" xfId="0" applyFill="1" applyAlignment="1">
      <alignment horizontal="center"/>
    </xf>
    <xf numFmtId="0" fontId="16" fillId="54" borderId="0" xfId="0" applyFont="1" applyFill="1" applyAlignment="1">
      <alignment horizontal="center"/>
    </xf>
    <xf numFmtId="0" fontId="0" fillId="53" borderId="0" xfId="0" applyFill="1" applyAlignment="1">
      <alignment wrapText="1"/>
    </xf>
    <xf numFmtId="0" fontId="0" fillId="53" borderId="0" xfId="0" applyFill="1" applyAlignment="1">
      <alignment horizontal="center"/>
    </xf>
    <xf numFmtId="0" fontId="16" fillId="53" borderId="0" xfId="0" applyFont="1" applyFill="1" applyAlignment="1">
      <alignment horizontal="center"/>
    </xf>
    <xf numFmtId="0" fontId="18" fillId="53" borderId="0" xfId="0" applyFont="1" applyFill="1" applyAlignment="1">
      <alignment wrapText="1"/>
    </xf>
    <xf numFmtId="0" fontId="0" fillId="53" borderId="0" xfId="0" applyFill="1" applyAlignment="1">
      <alignment horizontal="left"/>
    </xf>
    <xf numFmtId="0" fontId="0" fillId="33" borderId="0" xfId="0" applyFill="1" applyAlignment="1">
      <alignment horizontal="center" wrapText="1"/>
    </xf>
    <xf numFmtId="0" fontId="0" fillId="53" borderId="0" xfId="0" applyFill="1" applyAlignment="1">
      <alignment horizontal="center" wrapText="1"/>
    </xf>
    <xf numFmtId="0" fontId="0" fillId="54" borderId="0" xfId="0" applyFill="1" applyAlignment="1">
      <alignment horizontal="center" wrapText="1"/>
    </xf>
    <xf numFmtId="0" fontId="18" fillId="55" borderId="0" xfId="0" applyFont="1" applyFill="1" applyAlignment="1">
      <alignment wrapText="1"/>
    </xf>
    <xf numFmtId="0" fontId="0" fillId="55" borderId="0" xfId="0" applyFill="1" applyAlignment="1">
      <alignment horizontal="center" wrapText="1"/>
    </xf>
    <xf numFmtId="0" fontId="0" fillId="55" borderId="0" xfId="0" applyFill="1" applyAlignment="1">
      <alignment horizontal="center"/>
    </xf>
    <xf numFmtId="0" fontId="16" fillId="55" borderId="0" xfId="0" applyFont="1" applyFill="1" applyAlignment="1">
      <alignment horizontal="center"/>
    </xf>
    <xf numFmtId="0" fontId="0" fillId="55" borderId="0" xfId="0" applyFill="1" applyAlignment="1">
      <alignment wrapText="1"/>
    </xf>
    <xf numFmtId="0" fontId="0" fillId="0" borderId="17" xfId="0" applyBorder="1"/>
    <xf numFmtId="0" fontId="0" fillId="0" borderId="18" xfId="0" applyBorder="1" applyAlignment="1">
      <alignment wrapText="1"/>
    </xf>
    <xf numFmtId="0" fontId="0" fillId="53" borderId="18" xfId="0" applyFill="1" applyBorder="1"/>
    <xf numFmtId="0" fontId="0" fillId="54" borderId="18" xfId="0" applyFill="1" applyBorder="1"/>
    <xf numFmtId="0" fontId="0" fillId="55" borderId="19" xfId="0" applyFill="1" applyBorder="1"/>
    <xf numFmtId="0" fontId="0" fillId="57" borderId="0" xfId="0" applyFill="1"/>
    <xf numFmtId="2" fontId="0" fillId="0" borderId="0" xfId="0" applyNumberFormat="1" applyFill="1" applyBorder="1"/>
    <xf numFmtId="2" fontId="0" fillId="35" borderId="13" xfId="0" applyNumberFormat="1" applyFill="1" applyBorder="1" applyAlignment="1">
      <alignment horizontal="center"/>
    </xf>
    <xf numFmtId="2" fontId="0" fillId="36" borderId="13" xfId="0" applyNumberFormat="1" applyFill="1" applyBorder="1" applyAlignment="1">
      <alignment horizontal="center"/>
    </xf>
    <xf numFmtId="2" fontId="0" fillId="36" borderId="20" xfId="0" applyNumberFormat="1" applyFill="1" applyBorder="1" applyAlignment="1">
      <alignment horizontal="center"/>
    </xf>
    <xf numFmtId="0" fontId="0" fillId="0" borderId="13" xfId="0" applyBorder="1"/>
    <xf numFmtId="0" fontId="0" fillId="0" borderId="0" xfId="0" applyFill="1"/>
    <xf numFmtId="49" fontId="0" fillId="0" borderId="0" xfId="0" applyNumberFormat="1" applyFill="1" applyAlignment="1">
      <alignment horizontal="center"/>
    </xf>
    <xf numFmtId="2" fontId="0" fillId="0" borderId="12" xfId="0" applyNumberFormat="1" applyFill="1" applyBorder="1" applyAlignment="1">
      <alignment horizontal="center"/>
    </xf>
    <xf numFmtId="2" fontId="0" fillId="0" borderId="0" xfId="0" applyNumberFormat="1" applyFill="1"/>
    <xf numFmtId="2" fontId="0" fillId="0" borderId="0" xfId="0" applyNumberFormat="1" applyFill="1" applyAlignment="1">
      <alignment horizontal="center"/>
    </xf>
    <xf numFmtId="2" fontId="0" fillId="0" borderId="13" xfId="0" applyNumberFormat="1" applyFill="1" applyBorder="1"/>
    <xf numFmtId="0" fontId="0" fillId="0" borderId="0" xfId="0" applyBorder="1"/>
    <xf numFmtId="0" fontId="0" fillId="33" borderId="0" xfId="0" applyFont="1" applyFill="1"/>
    <xf numFmtId="0" fontId="0" fillId="33" borderId="0" xfId="0" applyFont="1" applyFill="1" applyAlignment="1">
      <alignment wrapText="1"/>
    </xf>
    <xf numFmtId="0" fontId="0" fillId="33" borderId="0" xfId="0" applyFont="1" applyFill="1" applyAlignment="1">
      <alignment horizontal="center" wrapText="1"/>
    </xf>
    <xf numFmtId="0" fontId="0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F00"/>
      <color rgb="FFF93B3B"/>
      <color rgb="FFAD2EC2"/>
      <color rgb="FF56B4E9"/>
      <color rgb="FF888886"/>
      <color rgb="FF009E73"/>
      <color rgb="FF4DAF4A"/>
      <color rgb="FF6C46DE"/>
      <color rgb="FF0072B2"/>
      <color rgb="FFC446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4BBE4-8B16-4985-A567-0A7BC5211E89}">
  <dimension ref="A1:O90"/>
  <sheetViews>
    <sheetView zoomScale="80" zoomScaleNormal="80" workbookViewId="0">
      <selection activeCell="O4" sqref="O4"/>
    </sheetView>
  </sheetViews>
  <sheetFormatPr defaultRowHeight="15" x14ac:dyDescent="0.25"/>
  <cols>
    <col min="1" max="1" width="14.42578125" bestFit="1" customWidth="1"/>
    <col min="3" max="3" width="35.28515625" bestFit="1" customWidth="1"/>
    <col min="4" max="4" width="27.85546875" customWidth="1"/>
    <col min="5" max="5" width="21.28515625" customWidth="1"/>
    <col min="6" max="6" width="24.7109375" bestFit="1" customWidth="1"/>
    <col min="11" max="11" width="18.140625" bestFit="1" customWidth="1"/>
  </cols>
  <sheetData>
    <row r="1" spans="1:15" x14ac:dyDescent="0.25">
      <c r="A1" s="2" t="s">
        <v>268</v>
      </c>
      <c r="B1" s="2" t="s">
        <v>269</v>
      </c>
      <c r="C1" s="2" t="s">
        <v>270</v>
      </c>
      <c r="D1" s="2" t="s">
        <v>271</v>
      </c>
      <c r="E1" s="2" t="s">
        <v>272</v>
      </c>
      <c r="F1" s="2" t="s">
        <v>273</v>
      </c>
      <c r="G1" s="2" t="s">
        <v>2</v>
      </c>
      <c r="H1" t="s">
        <v>900</v>
      </c>
      <c r="I1" t="s">
        <v>895</v>
      </c>
      <c r="K1" t="s">
        <v>897</v>
      </c>
      <c r="M1" t="s">
        <v>900</v>
      </c>
    </row>
    <row r="2" spans="1:15" x14ac:dyDescent="0.25">
      <c r="A2" s="159" t="s">
        <v>68</v>
      </c>
      <c r="B2" s="159">
        <v>2023</v>
      </c>
      <c r="C2" s="159">
        <v>1</v>
      </c>
      <c r="D2" s="159" t="s">
        <v>5</v>
      </c>
      <c r="E2" s="159">
        <v>1</v>
      </c>
      <c r="F2" s="159">
        <v>1</v>
      </c>
      <c r="G2" t="s">
        <v>69</v>
      </c>
      <c r="K2" t="s">
        <v>896</v>
      </c>
      <c r="L2">
        <v>57</v>
      </c>
      <c r="M2">
        <f>24-(SUM(M3:M4))</f>
        <v>7</v>
      </c>
    </row>
    <row r="3" spans="1:15" x14ac:dyDescent="0.25">
      <c r="A3" t="s">
        <v>304</v>
      </c>
      <c r="B3">
        <v>2022</v>
      </c>
      <c r="C3">
        <v>0</v>
      </c>
      <c r="D3" t="s">
        <v>5</v>
      </c>
      <c r="E3">
        <v>1</v>
      </c>
      <c r="F3">
        <v>0</v>
      </c>
      <c r="G3">
        <v>1</v>
      </c>
      <c r="H3" t="s">
        <v>463</v>
      </c>
      <c r="K3" t="s">
        <v>899</v>
      </c>
      <c r="L3">
        <f>88-57</f>
        <v>31</v>
      </c>
      <c r="M3">
        <v>16</v>
      </c>
      <c r="N3">
        <f>M3/31</f>
        <v>0.5161290322580645</v>
      </c>
      <c r="O3">
        <f>M3/M6</f>
        <v>0.66666666666666663</v>
      </c>
    </row>
    <row r="4" spans="1:15" x14ac:dyDescent="0.25">
      <c r="A4" t="s">
        <v>33</v>
      </c>
      <c r="B4" s="159">
        <v>2023</v>
      </c>
      <c r="C4" s="159">
        <v>1</v>
      </c>
      <c r="D4" s="159" t="s">
        <v>17</v>
      </c>
      <c r="E4" s="159">
        <v>0</v>
      </c>
      <c r="F4" s="159">
        <v>0</v>
      </c>
      <c r="G4">
        <v>4</v>
      </c>
      <c r="K4" t="s">
        <v>898</v>
      </c>
      <c r="L4">
        <v>1</v>
      </c>
      <c r="M4">
        <v>1</v>
      </c>
    </row>
    <row r="5" spans="1:15" x14ac:dyDescent="0.25">
      <c r="A5" t="s">
        <v>185</v>
      </c>
      <c r="B5">
        <v>2022</v>
      </c>
      <c r="C5">
        <v>1</v>
      </c>
      <c r="D5" t="s">
        <v>5</v>
      </c>
      <c r="E5">
        <v>1</v>
      </c>
      <c r="F5">
        <v>0</v>
      </c>
      <c r="G5">
        <v>25</v>
      </c>
    </row>
    <row r="6" spans="1:15" x14ac:dyDescent="0.25">
      <c r="A6" t="s">
        <v>285</v>
      </c>
      <c r="B6">
        <v>2013</v>
      </c>
      <c r="C6">
        <v>0</v>
      </c>
      <c r="D6" t="s">
        <v>17</v>
      </c>
      <c r="E6">
        <v>0</v>
      </c>
      <c r="F6">
        <v>0</v>
      </c>
      <c r="G6" s="2">
        <v>1</v>
      </c>
      <c r="H6" t="s">
        <v>463</v>
      </c>
      <c r="I6" t="s">
        <v>463</v>
      </c>
      <c r="K6" t="s">
        <v>901</v>
      </c>
      <c r="L6">
        <f>SUM(L2:L4)</f>
        <v>89</v>
      </c>
      <c r="M6">
        <f>SUM(M2:M4)</f>
        <v>24</v>
      </c>
    </row>
    <row r="7" spans="1:15" x14ac:dyDescent="0.25">
      <c r="A7" t="s">
        <v>305</v>
      </c>
      <c r="B7">
        <v>2022</v>
      </c>
      <c r="C7">
        <v>1</v>
      </c>
      <c r="D7" t="s">
        <v>5</v>
      </c>
      <c r="E7">
        <v>1</v>
      </c>
      <c r="F7">
        <v>0</v>
      </c>
      <c r="G7">
        <v>1</v>
      </c>
      <c r="H7" t="s">
        <v>463</v>
      </c>
    </row>
    <row r="8" spans="1:15" x14ac:dyDescent="0.25">
      <c r="A8" t="s">
        <v>27</v>
      </c>
      <c r="B8">
        <v>2023</v>
      </c>
      <c r="C8">
        <v>0</v>
      </c>
      <c r="D8" t="s">
        <v>17</v>
      </c>
      <c r="E8">
        <v>1</v>
      </c>
      <c r="F8">
        <v>0</v>
      </c>
      <c r="G8">
        <v>2</v>
      </c>
    </row>
    <row r="9" spans="1:15" x14ac:dyDescent="0.25">
      <c r="A9" t="s">
        <v>175</v>
      </c>
      <c r="B9">
        <v>2020</v>
      </c>
      <c r="C9">
        <v>1</v>
      </c>
      <c r="D9" t="s">
        <v>5</v>
      </c>
      <c r="E9">
        <v>1</v>
      </c>
      <c r="F9">
        <v>0</v>
      </c>
      <c r="G9" t="s">
        <v>60</v>
      </c>
    </row>
    <row r="10" spans="1:15" x14ac:dyDescent="0.25">
      <c r="A10" t="s">
        <v>148</v>
      </c>
      <c r="B10">
        <v>2017</v>
      </c>
      <c r="C10">
        <v>1</v>
      </c>
      <c r="D10" t="s">
        <v>5</v>
      </c>
      <c r="E10">
        <v>1</v>
      </c>
      <c r="F10">
        <v>0</v>
      </c>
      <c r="G10">
        <v>2</v>
      </c>
    </row>
    <row r="11" spans="1:15" x14ac:dyDescent="0.25">
      <c r="A11" t="s">
        <v>105</v>
      </c>
      <c r="B11">
        <v>2019</v>
      </c>
      <c r="C11">
        <v>0</v>
      </c>
      <c r="D11" t="s">
        <v>5</v>
      </c>
      <c r="E11">
        <v>1</v>
      </c>
      <c r="F11">
        <v>0</v>
      </c>
      <c r="G11">
        <v>1</v>
      </c>
      <c r="H11" t="s">
        <v>463</v>
      </c>
    </row>
    <row r="12" spans="1:15" x14ac:dyDescent="0.25">
      <c r="A12" t="s">
        <v>58</v>
      </c>
      <c r="B12">
        <v>2023</v>
      </c>
      <c r="C12">
        <v>0</v>
      </c>
      <c r="D12" t="s">
        <v>5</v>
      </c>
      <c r="E12">
        <v>1</v>
      </c>
      <c r="F12">
        <v>0</v>
      </c>
      <c r="G12" t="s">
        <v>60</v>
      </c>
    </row>
    <row r="13" spans="1:15" x14ac:dyDescent="0.25">
      <c r="A13" t="s">
        <v>168</v>
      </c>
      <c r="B13">
        <v>2019</v>
      </c>
      <c r="C13">
        <v>1</v>
      </c>
      <c r="D13" t="s">
        <v>5</v>
      </c>
      <c r="E13">
        <v>1</v>
      </c>
      <c r="F13">
        <v>0</v>
      </c>
      <c r="G13">
        <v>18</v>
      </c>
    </row>
    <row r="14" spans="1:15" x14ac:dyDescent="0.25">
      <c r="A14" t="s">
        <v>108</v>
      </c>
      <c r="B14">
        <v>2021</v>
      </c>
      <c r="C14">
        <v>1</v>
      </c>
      <c r="D14" t="s">
        <v>5</v>
      </c>
      <c r="E14">
        <v>1</v>
      </c>
      <c r="F14">
        <v>0</v>
      </c>
      <c r="G14">
        <v>7</v>
      </c>
    </row>
    <row r="15" spans="1:15" x14ac:dyDescent="0.25">
      <c r="A15" t="s">
        <v>293</v>
      </c>
      <c r="B15">
        <v>2018</v>
      </c>
      <c r="C15">
        <v>1</v>
      </c>
      <c r="D15" t="s">
        <v>17</v>
      </c>
      <c r="E15">
        <v>0</v>
      </c>
      <c r="F15">
        <v>0</v>
      </c>
      <c r="G15" s="2">
        <v>1</v>
      </c>
      <c r="H15" t="s">
        <v>463</v>
      </c>
      <c r="I15" t="s">
        <v>463</v>
      </c>
    </row>
    <row r="16" spans="1:15" x14ac:dyDescent="0.25">
      <c r="A16" t="s">
        <v>85</v>
      </c>
      <c r="B16">
        <v>2024</v>
      </c>
      <c r="C16">
        <v>1</v>
      </c>
      <c r="D16" t="s">
        <v>5</v>
      </c>
      <c r="E16">
        <v>1</v>
      </c>
      <c r="F16">
        <v>0</v>
      </c>
      <c r="G16">
        <v>15</v>
      </c>
    </row>
    <row r="17" spans="1:9" x14ac:dyDescent="0.25">
      <c r="A17" t="s">
        <v>141</v>
      </c>
      <c r="B17">
        <v>2015</v>
      </c>
      <c r="C17">
        <v>1</v>
      </c>
      <c r="D17" t="s">
        <v>17</v>
      </c>
      <c r="E17">
        <v>0</v>
      </c>
      <c r="F17">
        <v>0</v>
      </c>
      <c r="G17" t="s">
        <v>142</v>
      </c>
    </row>
    <row r="18" spans="1:9" x14ac:dyDescent="0.25">
      <c r="A18" t="s">
        <v>81</v>
      </c>
      <c r="B18">
        <v>2024</v>
      </c>
      <c r="C18">
        <v>1</v>
      </c>
      <c r="D18" t="s">
        <v>5</v>
      </c>
      <c r="E18">
        <v>1</v>
      </c>
      <c r="F18">
        <v>0</v>
      </c>
      <c r="G18">
        <v>72</v>
      </c>
    </row>
    <row r="19" spans="1:9" x14ac:dyDescent="0.25">
      <c r="A19" t="s">
        <v>39</v>
      </c>
      <c r="B19">
        <v>2023</v>
      </c>
      <c r="C19">
        <v>1</v>
      </c>
      <c r="D19" t="s">
        <v>5</v>
      </c>
      <c r="E19">
        <v>1</v>
      </c>
      <c r="F19">
        <v>1</v>
      </c>
      <c r="G19">
        <v>2</v>
      </c>
    </row>
    <row r="20" spans="1:9" x14ac:dyDescent="0.25">
      <c r="A20" t="s">
        <v>32</v>
      </c>
      <c r="B20">
        <v>2023</v>
      </c>
      <c r="C20">
        <v>0</v>
      </c>
      <c r="D20" t="s">
        <v>5</v>
      </c>
      <c r="E20">
        <v>1</v>
      </c>
      <c r="F20">
        <v>0</v>
      </c>
      <c r="G20">
        <v>9</v>
      </c>
    </row>
    <row r="21" spans="1:9" x14ac:dyDescent="0.25">
      <c r="A21" t="s">
        <v>289</v>
      </c>
      <c r="B21">
        <v>2016</v>
      </c>
      <c r="C21">
        <v>0</v>
      </c>
      <c r="D21" t="s">
        <v>5</v>
      </c>
      <c r="E21">
        <v>1</v>
      </c>
      <c r="F21">
        <v>0</v>
      </c>
      <c r="G21" t="s">
        <v>111</v>
      </c>
    </row>
    <row r="22" spans="1:9" x14ac:dyDescent="0.25">
      <c r="A22" t="s">
        <v>114</v>
      </c>
      <c r="B22">
        <v>2008</v>
      </c>
      <c r="C22">
        <v>1</v>
      </c>
      <c r="D22" t="s">
        <v>5</v>
      </c>
      <c r="E22">
        <v>1</v>
      </c>
      <c r="F22">
        <v>0</v>
      </c>
      <c r="G22">
        <v>1</v>
      </c>
      <c r="H22" t="s">
        <v>463</v>
      </c>
    </row>
    <row r="23" spans="1:9" x14ac:dyDescent="0.25">
      <c r="A23" t="s">
        <v>156</v>
      </c>
      <c r="B23">
        <v>2017</v>
      </c>
      <c r="C23">
        <v>1</v>
      </c>
      <c r="D23" t="s">
        <v>17</v>
      </c>
      <c r="E23">
        <v>0</v>
      </c>
      <c r="F23">
        <v>0</v>
      </c>
      <c r="G23">
        <v>2</v>
      </c>
    </row>
    <row r="24" spans="1:9" x14ac:dyDescent="0.25">
      <c r="A24" t="s">
        <v>95</v>
      </c>
      <c r="B24">
        <v>2012</v>
      </c>
      <c r="C24">
        <v>0</v>
      </c>
      <c r="D24" t="s">
        <v>17</v>
      </c>
      <c r="E24">
        <v>0</v>
      </c>
      <c r="F24">
        <v>0</v>
      </c>
      <c r="G24" s="2">
        <v>1</v>
      </c>
      <c r="H24" t="s">
        <v>463</v>
      </c>
      <c r="I24" t="s">
        <v>463</v>
      </c>
    </row>
    <row r="25" spans="1:9" x14ac:dyDescent="0.25">
      <c r="A25" t="s">
        <v>133</v>
      </c>
      <c r="B25">
        <v>2015</v>
      </c>
      <c r="C25">
        <v>1</v>
      </c>
      <c r="D25" s="3" t="s">
        <v>287</v>
      </c>
      <c r="E25">
        <v>0</v>
      </c>
      <c r="F25">
        <v>0</v>
      </c>
      <c r="G25" s="2">
        <v>1</v>
      </c>
      <c r="H25" t="s">
        <v>463</v>
      </c>
    </row>
    <row r="26" spans="1:9" x14ac:dyDescent="0.25">
      <c r="A26" t="s">
        <v>76</v>
      </c>
      <c r="B26">
        <v>2024</v>
      </c>
      <c r="C26">
        <v>1</v>
      </c>
      <c r="D26" t="s">
        <v>5</v>
      </c>
      <c r="E26">
        <v>1</v>
      </c>
      <c r="F26">
        <v>1</v>
      </c>
      <c r="G26" t="s">
        <v>77</v>
      </c>
    </row>
    <row r="27" spans="1:9" x14ac:dyDescent="0.25">
      <c r="A27" t="s">
        <v>88</v>
      </c>
      <c r="B27">
        <v>2010</v>
      </c>
      <c r="C27">
        <v>0</v>
      </c>
      <c r="D27" t="s">
        <v>17</v>
      </c>
      <c r="E27">
        <v>0</v>
      </c>
      <c r="F27">
        <v>0</v>
      </c>
      <c r="G27" s="2">
        <v>1</v>
      </c>
      <c r="H27" t="s">
        <v>463</v>
      </c>
      <c r="I27" t="s">
        <v>463</v>
      </c>
    </row>
    <row r="28" spans="1:9" x14ac:dyDescent="0.25">
      <c r="A28" t="s">
        <v>99</v>
      </c>
      <c r="B28">
        <v>2013</v>
      </c>
      <c r="C28">
        <v>0</v>
      </c>
      <c r="D28" t="s">
        <v>5</v>
      </c>
      <c r="E28">
        <v>1</v>
      </c>
      <c r="F28">
        <v>0</v>
      </c>
      <c r="G28" t="s">
        <v>100</v>
      </c>
    </row>
    <row r="29" spans="1:9" x14ac:dyDescent="0.25">
      <c r="A29" t="s">
        <v>275</v>
      </c>
      <c r="B29">
        <v>2007</v>
      </c>
      <c r="C29">
        <v>1</v>
      </c>
      <c r="D29" t="s">
        <v>5</v>
      </c>
      <c r="E29">
        <v>1</v>
      </c>
      <c r="F29">
        <v>0</v>
      </c>
      <c r="G29" t="s">
        <v>188</v>
      </c>
    </row>
    <row r="30" spans="1:9" x14ac:dyDescent="0.25">
      <c r="A30" t="s">
        <v>120</v>
      </c>
      <c r="B30">
        <v>2009</v>
      </c>
      <c r="C30">
        <v>1</v>
      </c>
      <c r="D30" t="s">
        <v>17</v>
      </c>
      <c r="E30">
        <v>0</v>
      </c>
      <c r="F30">
        <v>0</v>
      </c>
      <c r="G30" s="2">
        <v>1</v>
      </c>
      <c r="H30" t="s">
        <v>463</v>
      </c>
      <c r="I30" t="s">
        <v>463</v>
      </c>
    </row>
    <row r="31" spans="1:9" x14ac:dyDescent="0.25">
      <c r="A31" t="s">
        <v>171</v>
      </c>
      <c r="B31">
        <v>2020</v>
      </c>
      <c r="C31">
        <v>1</v>
      </c>
      <c r="D31" t="s">
        <v>17</v>
      </c>
      <c r="E31">
        <v>0</v>
      </c>
      <c r="F31">
        <v>0</v>
      </c>
      <c r="G31">
        <v>2</v>
      </c>
    </row>
    <row r="32" spans="1:9" x14ac:dyDescent="0.25">
      <c r="A32" t="s">
        <v>122</v>
      </c>
      <c r="B32">
        <v>2009</v>
      </c>
      <c r="C32">
        <v>1</v>
      </c>
      <c r="D32" t="s">
        <v>17</v>
      </c>
      <c r="E32">
        <v>0</v>
      </c>
      <c r="F32">
        <v>0</v>
      </c>
      <c r="G32" s="2">
        <v>1</v>
      </c>
      <c r="H32" t="s">
        <v>463</v>
      </c>
      <c r="I32" t="s">
        <v>463</v>
      </c>
    </row>
    <row r="33" spans="1:9" x14ac:dyDescent="0.25">
      <c r="A33" t="s">
        <v>290</v>
      </c>
      <c r="B33">
        <v>2017</v>
      </c>
      <c r="C33">
        <v>1</v>
      </c>
      <c r="D33" t="s">
        <v>5</v>
      </c>
      <c r="E33">
        <v>1</v>
      </c>
      <c r="F33">
        <v>0</v>
      </c>
      <c r="G33">
        <v>79</v>
      </c>
    </row>
    <row r="34" spans="1:9" x14ac:dyDescent="0.25">
      <c r="A34" t="s">
        <v>282</v>
      </c>
      <c r="B34">
        <v>2012</v>
      </c>
      <c r="C34">
        <v>1</v>
      </c>
      <c r="D34" t="s">
        <v>17</v>
      </c>
      <c r="E34">
        <v>0</v>
      </c>
      <c r="F34">
        <v>0</v>
      </c>
      <c r="G34" t="s">
        <v>251</v>
      </c>
    </row>
    <row r="35" spans="1:9" x14ac:dyDescent="0.25">
      <c r="A35" t="s">
        <v>45</v>
      </c>
      <c r="B35">
        <v>2023</v>
      </c>
      <c r="C35">
        <v>1</v>
      </c>
      <c r="D35" t="s">
        <v>5</v>
      </c>
      <c r="E35">
        <v>1</v>
      </c>
      <c r="F35">
        <v>0</v>
      </c>
      <c r="G35" t="s">
        <v>46</v>
      </c>
    </row>
    <row r="36" spans="1:9" x14ac:dyDescent="0.25">
      <c r="A36" t="s">
        <v>279</v>
      </c>
      <c r="B36">
        <v>2010</v>
      </c>
      <c r="C36">
        <v>1</v>
      </c>
      <c r="D36" t="s">
        <v>17</v>
      </c>
      <c r="E36">
        <v>0</v>
      </c>
      <c r="F36">
        <v>0</v>
      </c>
      <c r="G36" s="2">
        <v>1</v>
      </c>
      <c r="H36" t="s">
        <v>463</v>
      </c>
      <c r="I36" t="s">
        <v>463</v>
      </c>
    </row>
    <row r="37" spans="1:9" x14ac:dyDescent="0.25">
      <c r="A37" t="s">
        <v>306</v>
      </c>
      <c r="B37">
        <v>2022</v>
      </c>
      <c r="C37">
        <v>1</v>
      </c>
      <c r="D37" t="s">
        <v>5</v>
      </c>
      <c r="E37">
        <v>1</v>
      </c>
      <c r="F37">
        <v>0</v>
      </c>
      <c r="G37" t="s">
        <v>237</v>
      </c>
    </row>
    <row r="38" spans="1:9" x14ac:dyDescent="0.25">
      <c r="A38" t="s">
        <v>291</v>
      </c>
      <c r="B38">
        <v>2017</v>
      </c>
      <c r="C38">
        <v>1</v>
      </c>
      <c r="D38" t="s">
        <v>17</v>
      </c>
      <c r="E38">
        <v>0</v>
      </c>
      <c r="F38">
        <v>0</v>
      </c>
      <c r="G38" t="s">
        <v>216</v>
      </c>
      <c r="H38" t="s">
        <v>463</v>
      </c>
      <c r="I38" t="s">
        <v>463</v>
      </c>
    </row>
    <row r="39" spans="1:9" x14ac:dyDescent="0.25">
      <c r="A39" t="s">
        <v>55</v>
      </c>
      <c r="B39">
        <v>2024</v>
      </c>
      <c r="C39">
        <v>1</v>
      </c>
      <c r="D39" t="s">
        <v>5</v>
      </c>
      <c r="E39">
        <v>1</v>
      </c>
      <c r="F39">
        <v>0</v>
      </c>
      <c r="G39" t="s">
        <v>265</v>
      </c>
    </row>
    <row r="40" spans="1:9" x14ac:dyDescent="0.25">
      <c r="A40" t="s">
        <v>22</v>
      </c>
      <c r="B40">
        <v>2023</v>
      </c>
      <c r="C40">
        <v>1</v>
      </c>
      <c r="D40" t="s">
        <v>5</v>
      </c>
      <c r="E40">
        <v>1</v>
      </c>
      <c r="F40">
        <v>0</v>
      </c>
      <c r="G40">
        <v>3</v>
      </c>
    </row>
    <row r="41" spans="1:9" x14ac:dyDescent="0.25">
      <c r="A41" t="s">
        <v>274</v>
      </c>
      <c r="B41">
        <v>2004</v>
      </c>
      <c r="C41">
        <v>1</v>
      </c>
      <c r="D41" t="s">
        <v>17</v>
      </c>
      <c r="E41">
        <v>0</v>
      </c>
      <c r="F41">
        <v>0</v>
      </c>
      <c r="G41" t="s">
        <v>221</v>
      </c>
    </row>
    <row r="42" spans="1:9" x14ac:dyDescent="0.25">
      <c r="A42" t="s">
        <v>296</v>
      </c>
      <c r="B42">
        <v>2019</v>
      </c>
      <c r="C42">
        <v>1</v>
      </c>
      <c r="D42" t="s">
        <v>5</v>
      </c>
      <c r="E42">
        <v>1</v>
      </c>
      <c r="F42">
        <v>1</v>
      </c>
      <c r="G42">
        <v>3</v>
      </c>
    </row>
    <row r="43" spans="1:9" x14ac:dyDescent="0.25">
      <c r="A43" t="s">
        <v>179</v>
      </c>
      <c r="B43">
        <v>2022</v>
      </c>
      <c r="C43">
        <v>1</v>
      </c>
      <c r="D43" t="s">
        <v>17</v>
      </c>
      <c r="E43">
        <v>0</v>
      </c>
      <c r="F43">
        <v>0</v>
      </c>
      <c r="G43">
        <v>132</v>
      </c>
    </row>
    <row r="44" spans="1:9" x14ac:dyDescent="0.25">
      <c r="A44" t="s">
        <v>163</v>
      </c>
      <c r="B44">
        <v>2018</v>
      </c>
      <c r="C44">
        <v>1</v>
      </c>
      <c r="D44" t="s">
        <v>17</v>
      </c>
      <c r="E44">
        <v>0</v>
      </c>
      <c r="F44">
        <v>0</v>
      </c>
      <c r="G44">
        <v>4</v>
      </c>
    </row>
    <row r="45" spans="1:9" x14ac:dyDescent="0.25">
      <c r="A45" t="s">
        <v>294</v>
      </c>
      <c r="B45">
        <v>2018</v>
      </c>
      <c r="C45">
        <v>0</v>
      </c>
      <c r="D45" t="s">
        <v>17</v>
      </c>
      <c r="E45">
        <v>0</v>
      </c>
      <c r="F45">
        <v>0</v>
      </c>
      <c r="G45">
        <v>2</v>
      </c>
    </row>
    <row r="46" spans="1:9" x14ac:dyDescent="0.25">
      <c r="A46" t="s">
        <v>182</v>
      </c>
      <c r="B46">
        <v>2022</v>
      </c>
      <c r="C46">
        <v>1</v>
      </c>
      <c r="D46" t="s">
        <v>5</v>
      </c>
      <c r="E46">
        <v>1</v>
      </c>
      <c r="F46">
        <v>0</v>
      </c>
      <c r="G46" t="s">
        <v>232</v>
      </c>
    </row>
    <row r="47" spans="1:9" x14ac:dyDescent="0.25">
      <c r="A47" t="s">
        <v>302</v>
      </c>
      <c r="B47">
        <v>2021</v>
      </c>
      <c r="C47">
        <v>1</v>
      </c>
      <c r="D47" t="s">
        <v>5</v>
      </c>
      <c r="E47">
        <v>1</v>
      </c>
      <c r="F47">
        <v>0</v>
      </c>
      <c r="G47" t="s">
        <v>183</v>
      </c>
    </row>
    <row r="48" spans="1:9" x14ac:dyDescent="0.25">
      <c r="A48" t="s">
        <v>51</v>
      </c>
      <c r="B48">
        <v>2023</v>
      </c>
      <c r="C48">
        <v>1</v>
      </c>
      <c r="D48" t="s">
        <v>5</v>
      </c>
      <c r="E48">
        <v>1</v>
      </c>
      <c r="F48">
        <v>0</v>
      </c>
      <c r="G48">
        <v>64</v>
      </c>
    </row>
    <row r="49" spans="1:9" x14ac:dyDescent="0.25">
      <c r="A49" t="s">
        <v>4</v>
      </c>
      <c r="B49">
        <v>2023</v>
      </c>
      <c r="C49">
        <v>1</v>
      </c>
      <c r="D49" t="s">
        <v>5</v>
      </c>
      <c r="E49">
        <v>1</v>
      </c>
      <c r="F49">
        <v>1</v>
      </c>
      <c r="G49">
        <v>146</v>
      </c>
    </row>
    <row r="50" spans="1:9" x14ac:dyDescent="0.25">
      <c r="A50" t="s">
        <v>128</v>
      </c>
      <c r="B50">
        <v>2012</v>
      </c>
      <c r="C50">
        <v>1</v>
      </c>
      <c r="D50" t="s">
        <v>5</v>
      </c>
      <c r="E50">
        <v>1</v>
      </c>
      <c r="F50">
        <v>0</v>
      </c>
      <c r="G50">
        <v>10</v>
      </c>
    </row>
    <row r="51" spans="1:9" x14ac:dyDescent="0.25">
      <c r="A51" t="s">
        <v>307</v>
      </c>
      <c r="B51">
        <v>2022</v>
      </c>
      <c r="C51">
        <v>1</v>
      </c>
      <c r="D51" t="s">
        <v>5</v>
      </c>
      <c r="E51">
        <v>1</v>
      </c>
      <c r="F51">
        <v>0</v>
      </c>
      <c r="G51">
        <v>6</v>
      </c>
    </row>
    <row r="52" spans="1:9" x14ac:dyDescent="0.25">
      <c r="A52" t="s">
        <v>10</v>
      </c>
      <c r="B52">
        <v>2023</v>
      </c>
      <c r="C52">
        <v>1</v>
      </c>
      <c r="D52" t="s">
        <v>5</v>
      </c>
      <c r="E52">
        <v>1</v>
      </c>
      <c r="F52">
        <v>0</v>
      </c>
      <c r="G52" s="1">
        <v>45577</v>
      </c>
    </row>
    <row r="53" spans="1:9" x14ac:dyDescent="0.25">
      <c r="A53" t="s">
        <v>64</v>
      </c>
      <c r="B53">
        <v>2023</v>
      </c>
      <c r="C53">
        <v>1</v>
      </c>
      <c r="D53" t="s">
        <v>17</v>
      </c>
      <c r="E53">
        <v>0</v>
      </c>
      <c r="F53">
        <v>1</v>
      </c>
      <c r="G53" s="2">
        <v>1</v>
      </c>
      <c r="H53" t="s">
        <v>463</v>
      </c>
      <c r="I53" t="s">
        <v>463</v>
      </c>
    </row>
    <row r="54" spans="1:9" x14ac:dyDescent="0.25">
      <c r="A54" t="s">
        <v>123</v>
      </c>
      <c r="B54">
        <v>2010</v>
      </c>
      <c r="C54">
        <v>1</v>
      </c>
      <c r="D54" t="s">
        <v>5</v>
      </c>
      <c r="E54">
        <v>1</v>
      </c>
      <c r="F54">
        <v>0</v>
      </c>
      <c r="G54">
        <v>1</v>
      </c>
      <c r="H54" t="s">
        <v>463</v>
      </c>
    </row>
    <row r="55" spans="1:9" x14ac:dyDescent="0.25">
      <c r="A55" t="s">
        <v>303</v>
      </c>
      <c r="B55">
        <v>2021</v>
      </c>
      <c r="C55">
        <v>1</v>
      </c>
      <c r="D55" t="s">
        <v>5</v>
      </c>
      <c r="E55">
        <v>1</v>
      </c>
      <c r="F55">
        <v>1</v>
      </c>
      <c r="G55">
        <v>7</v>
      </c>
    </row>
    <row r="56" spans="1:9" x14ac:dyDescent="0.25">
      <c r="A56" t="s">
        <v>286</v>
      </c>
      <c r="B56">
        <v>2014</v>
      </c>
      <c r="C56">
        <v>0</v>
      </c>
      <c r="D56" t="s">
        <v>17</v>
      </c>
      <c r="E56">
        <v>0</v>
      </c>
      <c r="F56">
        <v>0</v>
      </c>
      <c r="G56" s="2">
        <v>1</v>
      </c>
      <c r="H56" t="s">
        <v>463</v>
      </c>
      <c r="I56" t="s">
        <v>463</v>
      </c>
    </row>
    <row r="57" spans="1:9" x14ac:dyDescent="0.25">
      <c r="A57" t="s">
        <v>125</v>
      </c>
      <c r="B57">
        <v>2011</v>
      </c>
      <c r="C57">
        <v>1</v>
      </c>
      <c r="D57" t="s">
        <v>17</v>
      </c>
      <c r="E57">
        <v>0</v>
      </c>
      <c r="F57">
        <v>0</v>
      </c>
      <c r="G57" s="2">
        <v>1</v>
      </c>
      <c r="H57" t="s">
        <v>463</v>
      </c>
      <c r="I57" t="s">
        <v>463</v>
      </c>
    </row>
    <row r="58" spans="1:9" x14ac:dyDescent="0.25">
      <c r="A58" t="s">
        <v>288</v>
      </c>
      <c r="B58">
        <v>2015</v>
      </c>
      <c r="C58">
        <v>1</v>
      </c>
      <c r="D58" t="s">
        <v>5</v>
      </c>
      <c r="E58">
        <v>1</v>
      </c>
      <c r="F58">
        <v>0</v>
      </c>
      <c r="G58" t="s">
        <v>208</v>
      </c>
    </row>
    <row r="59" spans="1:9" x14ac:dyDescent="0.25">
      <c r="A59" t="s">
        <v>277</v>
      </c>
      <c r="B59">
        <v>2008</v>
      </c>
      <c r="C59">
        <v>1</v>
      </c>
      <c r="D59" t="s">
        <v>17</v>
      </c>
      <c r="E59">
        <v>0</v>
      </c>
      <c r="F59">
        <v>0</v>
      </c>
      <c r="G59">
        <v>2</v>
      </c>
    </row>
    <row r="60" spans="1:9" x14ac:dyDescent="0.25">
      <c r="A60" t="s">
        <v>152</v>
      </c>
      <c r="B60">
        <v>2017</v>
      </c>
      <c r="C60">
        <v>1</v>
      </c>
      <c r="D60" t="s">
        <v>5</v>
      </c>
      <c r="E60">
        <v>1</v>
      </c>
      <c r="F60">
        <v>0</v>
      </c>
      <c r="G60">
        <v>3</v>
      </c>
    </row>
    <row r="61" spans="1:9" x14ac:dyDescent="0.25">
      <c r="A61" t="s">
        <v>295</v>
      </c>
      <c r="B61">
        <v>2018</v>
      </c>
      <c r="C61">
        <v>0</v>
      </c>
      <c r="D61" t="s">
        <v>17</v>
      </c>
      <c r="E61">
        <v>0</v>
      </c>
      <c r="F61">
        <v>0</v>
      </c>
      <c r="G61" s="2">
        <v>1</v>
      </c>
      <c r="H61" t="s">
        <v>463</v>
      </c>
      <c r="I61" t="s">
        <v>463</v>
      </c>
    </row>
    <row r="62" spans="1:9" x14ac:dyDescent="0.25">
      <c r="A62" t="s">
        <v>145</v>
      </c>
      <c r="B62">
        <v>2016</v>
      </c>
      <c r="C62">
        <v>1</v>
      </c>
      <c r="D62" t="s">
        <v>5</v>
      </c>
      <c r="E62">
        <v>1</v>
      </c>
      <c r="F62">
        <v>0</v>
      </c>
      <c r="G62">
        <v>3</v>
      </c>
    </row>
    <row r="63" spans="1:9" x14ac:dyDescent="0.25">
      <c r="A63" t="s">
        <v>91</v>
      </c>
      <c r="B63">
        <v>2012</v>
      </c>
      <c r="C63">
        <v>0</v>
      </c>
      <c r="D63" t="s">
        <v>5</v>
      </c>
      <c r="E63">
        <v>1</v>
      </c>
      <c r="F63">
        <v>0</v>
      </c>
      <c r="G63">
        <v>2</v>
      </c>
    </row>
    <row r="64" spans="1:9" x14ac:dyDescent="0.25">
      <c r="A64" t="s">
        <v>117</v>
      </c>
      <c r="B64">
        <v>2008</v>
      </c>
      <c r="C64">
        <v>1</v>
      </c>
      <c r="D64" t="s">
        <v>17</v>
      </c>
      <c r="E64">
        <v>0</v>
      </c>
      <c r="F64">
        <v>0</v>
      </c>
      <c r="G64">
        <v>4</v>
      </c>
    </row>
    <row r="65" spans="1:9" x14ac:dyDescent="0.25">
      <c r="A65" t="s">
        <v>276</v>
      </c>
      <c r="B65">
        <v>2007</v>
      </c>
      <c r="C65">
        <v>1</v>
      </c>
      <c r="D65" t="s">
        <v>5</v>
      </c>
      <c r="E65">
        <v>1</v>
      </c>
      <c r="F65">
        <v>0</v>
      </c>
      <c r="G65" t="s">
        <v>263</v>
      </c>
    </row>
    <row r="66" spans="1:9" x14ac:dyDescent="0.25">
      <c r="A66" t="s">
        <v>176</v>
      </c>
      <c r="B66">
        <v>2021</v>
      </c>
      <c r="C66">
        <v>1</v>
      </c>
      <c r="D66" t="s">
        <v>5</v>
      </c>
      <c r="E66">
        <v>1</v>
      </c>
      <c r="F66">
        <v>0</v>
      </c>
      <c r="G66" t="s">
        <v>249</v>
      </c>
    </row>
    <row r="67" spans="1:9" x14ac:dyDescent="0.25">
      <c r="A67" t="s">
        <v>297</v>
      </c>
      <c r="B67">
        <v>2019</v>
      </c>
      <c r="C67">
        <v>1</v>
      </c>
      <c r="D67" t="s">
        <v>5</v>
      </c>
      <c r="E67">
        <v>1</v>
      </c>
      <c r="F67">
        <v>0</v>
      </c>
      <c r="G67">
        <v>10</v>
      </c>
    </row>
    <row r="68" spans="1:9" x14ac:dyDescent="0.25">
      <c r="A68" t="s">
        <v>298</v>
      </c>
      <c r="B68">
        <v>2020</v>
      </c>
      <c r="C68">
        <v>1</v>
      </c>
      <c r="D68" t="s">
        <v>5</v>
      </c>
      <c r="E68">
        <v>1</v>
      </c>
      <c r="F68">
        <v>0</v>
      </c>
      <c r="G68">
        <v>17</v>
      </c>
    </row>
    <row r="69" spans="1:9" x14ac:dyDescent="0.25">
      <c r="A69" t="s">
        <v>280</v>
      </c>
      <c r="B69">
        <v>2011</v>
      </c>
      <c r="C69">
        <v>1</v>
      </c>
      <c r="D69" t="s">
        <v>5</v>
      </c>
      <c r="E69">
        <v>1</v>
      </c>
      <c r="F69">
        <v>0</v>
      </c>
      <c r="G69">
        <v>1</v>
      </c>
      <c r="H69" t="s">
        <v>463</v>
      </c>
    </row>
    <row r="70" spans="1:9" x14ac:dyDescent="0.25">
      <c r="A70" t="s">
        <v>138</v>
      </c>
      <c r="B70">
        <v>2015</v>
      </c>
      <c r="C70">
        <v>1</v>
      </c>
      <c r="D70" t="s">
        <v>17</v>
      </c>
      <c r="E70">
        <v>0</v>
      </c>
      <c r="F70">
        <v>0</v>
      </c>
      <c r="G70" s="2">
        <v>1</v>
      </c>
      <c r="H70" t="s">
        <v>463</v>
      </c>
      <c r="I70" t="s">
        <v>463</v>
      </c>
    </row>
    <row r="71" spans="1:9" x14ac:dyDescent="0.25">
      <c r="A71" t="s">
        <v>299</v>
      </c>
      <c r="B71">
        <v>2020</v>
      </c>
      <c r="C71">
        <v>1</v>
      </c>
      <c r="D71" t="s">
        <v>5</v>
      </c>
      <c r="E71">
        <v>1</v>
      </c>
      <c r="F71">
        <v>1</v>
      </c>
      <c r="G71">
        <v>11</v>
      </c>
    </row>
    <row r="72" spans="1:9" x14ac:dyDescent="0.25">
      <c r="A72" s="4" t="s">
        <v>101</v>
      </c>
      <c r="B72" s="4">
        <v>2016</v>
      </c>
      <c r="C72" s="4">
        <v>0</v>
      </c>
      <c r="D72" s="4" t="s">
        <v>5</v>
      </c>
      <c r="E72" s="4">
        <v>1</v>
      </c>
      <c r="F72" s="4">
        <v>1</v>
      </c>
      <c r="G72">
        <v>22</v>
      </c>
    </row>
    <row r="73" spans="1:9" x14ac:dyDescent="0.25">
      <c r="A73" t="s">
        <v>66</v>
      </c>
      <c r="B73" s="5">
        <v>2023</v>
      </c>
      <c r="C73" s="5">
        <v>1</v>
      </c>
      <c r="D73" s="5" t="s">
        <v>5</v>
      </c>
      <c r="E73" s="5">
        <v>1</v>
      </c>
      <c r="F73" s="5">
        <v>0</v>
      </c>
      <c r="G73" t="s">
        <v>262</v>
      </c>
    </row>
    <row r="74" spans="1:9" x14ac:dyDescent="0.25">
      <c r="A74" t="s">
        <v>278</v>
      </c>
      <c r="B74">
        <v>2009</v>
      </c>
      <c r="C74">
        <v>1</v>
      </c>
      <c r="D74" t="s">
        <v>5</v>
      </c>
      <c r="E74">
        <v>1</v>
      </c>
      <c r="F74">
        <v>0</v>
      </c>
      <c r="G74" t="s">
        <v>191</v>
      </c>
    </row>
    <row r="75" spans="1:9" x14ac:dyDescent="0.25">
      <c r="A75" t="s">
        <v>278</v>
      </c>
      <c r="B75">
        <v>2011</v>
      </c>
      <c r="C75">
        <v>1</v>
      </c>
      <c r="D75" t="s">
        <v>5</v>
      </c>
      <c r="E75">
        <v>1</v>
      </c>
      <c r="F75">
        <v>0</v>
      </c>
      <c r="G75" t="s">
        <v>198</v>
      </c>
    </row>
    <row r="76" spans="1:9" x14ac:dyDescent="0.25">
      <c r="A76" t="s">
        <v>173</v>
      </c>
      <c r="B76">
        <v>2020</v>
      </c>
      <c r="C76">
        <v>1</v>
      </c>
      <c r="D76" t="s">
        <v>17</v>
      </c>
      <c r="E76">
        <v>0</v>
      </c>
      <c r="F76">
        <v>0</v>
      </c>
      <c r="G76" s="2">
        <v>1</v>
      </c>
      <c r="H76" t="s">
        <v>463</v>
      </c>
    </row>
    <row r="77" spans="1:9" x14ac:dyDescent="0.25">
      <c r="A77" t="s">
        <v>311</v>
      </c>
      <c r="B77">
        <v>2021</v>
      </c>
      <c r="C77">
        <v>1</v>
      </c>
      <c r="D77" t="s">
        <v>5</v>
      </c>
      <c r="E77">
        <v>1</v>
      </c>
      <c r="F77">
        <v>1</v>
      </c>
      <c r="G77">
        <v>27</v>
      </c>
    </row>
    <row r="78" spans="1:9" x14ac:dyDescent="0.25">
      <c r="A78" t="s">
        <v>310</v>
      </c>
      <c r="B78">
        <v>2021</v>
      </c>
      <c r="C78">
        <v>1</v>
      </c>
      <c r="D78" t="s">
        <v>5</v>
      </c>
      <c r="E78">
        <v>1</v>
      </c>
      <c r="F78">
        <v>1</v>
      </c>
      <c r="G78">
        <v>21</v>
      </c>
    </row>
    <row r="79" spans="1:9" x14ac:dyDescent="0.25">
      <c r="A79" t="s">
        <v>292</v>
      </c>
      <c r="B79">
        <v>2017</v>
      </c>
      <c r="C79">
        <v>1</v>
      </c>
      <c r="D79" t="s">
        <v>5</v>
      </c>
      <c r="E79">
        <v>1</v>
      </c>
      <c r="F79">
        <v>0</v>
      </c>
      <c r="G79" t="s">
        <v>254</v>
      </c>
    </row>
    <row r="80" spans="1:9" x14ac:dyDescent="0.25">
      <c r="A80" t="s">
        <v>136</v>
      </c>
      <c r="B80">
        <v>2015</v>
      </c>
      <c r="C80">
        <v>1</v>
      </c>
      <c r="D80" t="s">
        <v>17</v>
      </c>
      <c r="E80">
        <v>0</v>
      </c>
      <c r="F80">
        <v>0</v>
      </c>
      <c r="G80">
        <v>5</v>
      </c>
    </row>
    <row r="81" spans="1:9" x14ac:dyDescent="0.25">
      <c r="A81" t="s">
        <v>16</v>
      </c>
      <c r="B81">
        <v>2023</v>
      </c>
      <c r="C81">
        <v>1</v>
      </c>
      <c r="D81" t="s">
        <v>17</v>
      </c>
      <c r="E81">
        <v>0</v>
      </c>
      <c r="F81">
        <v>0</v>
      </c>
      <c r="G81">
        <v>80</v>
      </c>
    </row>
    <row r="82" spans="1:9" x14ac:dyDescent="0.25">
      <c r="A82" t="s">
        <v>130</v>
      </c>
      <c r="B82">
        <v>2013</v>
      </c>
      <c r="C82">
        <v>1</v>
      </c>
      <c r="D82" t="s">
        <v>5</v>
      </c>
      <c r="E82">
        <v>1</v>
      </c>
      <c r="F82">
        <v>0</v>
      </c>
      <c r="G82">
        <v>2</v>
      </c>
    </row>
    <row r="83" spans="1:9" x14ac:dyDescent="0.25">
      <c r="A83" t="s">
        <v>283</v>
      </c>
      <c r="B83">
        <v>2012</v>
      </c>
      <c r="C83">
        <v>1</v>
      </c>
      <c r="D83" t="s">
        <v>17</v>
      </c>
      <c r="E83">
        <v>0</v>
      </c>
      <c r="F83">
        <v>0</v>
      </c>
      <c r="G83" t="s">
        <v>204</v>
      </c>
      <c r="H83" t="s">
        <v>463</v>
      </c>
      <c r="I83" t="s">
        <v>463</v>
      </c>
    </row>
    <row r="84" spans="1:9" x14ac:dyDescent="0.25">
      <c r="A84" t="s">
        <v>300</v>
      </c>
      <c r="B84">
        <v>2020</v>
      </c>
      <c r="C84">
        <v>1</v>
      </c>
      <c r="D84" t="s">
        <v>5</v>
      </c>
      <c r="E84">
        <v>1</v>
      </c>
      <c r="F84">
        <v>0</v>
      </c>
      <c r="G84">
        <v>40</v>
      </c>
    </row>
    <row r="85" spans="1:9" x14ac:dyDescent="0.25">
      <c r="A85" t="s">
        <v>301</v>
      </c>
      <c r="B85">
        <v>2020</v>
      </c>
      <c r="C85">
        <v>1</v>
      </c>
      <c r="D85" t="s">
        <v>17</v>
      </c>
      <c r="E85">
        <v>0</v>
      </c>
      <c r="F85">
        <v>0</v>
      </c>
      <c r="G85">
        <v>3</v>
      </c>
    </row>
    <row r="86" spans="1:9" x14ac:dyDescent="0.25">
      <c r="A86" t="s">
        <v>72</v>
      </c>
      <c r="B86">
        <v>2024</v>
      </c>
      <c r="C86">
        <v>0</v>
      </c>
      <c r="D86" t="s">
        <v>5</v>
      </c>
      <c r="E86">
        <v>1</v>
      </c>
      <c r="F86">
        <v>0</v>
      </c>
      <c r="G86">
        <v>12</v>
      </c>
    </row>
    <row r="87" spans="1:9" x14ac:dyDescent="0.25">
      <c r="A87" t="s">
        <v>281</v>
      </c>
      <c r="B87">
        <v>2011</v>
      </c>
      <c r="C87">
        <v>0</v>
      </c>
      <c r="D87" t="s">
        <v>5</v>
      </c>
      <c r="E87">
        <v>1</v>
      </c>
      <c r="F87">
        <v>0</v>
      </c>
      <c r="G87">
        <v>6</v>
      </c>
    </row>
    <row r="88" spans="1:9" x14ac:dyDescent="0.25">
      <c r="A88" t="s">
        <v>160</v>
      </c>
      <c r="B88">
        <v>2018</v>
      </c>
      <c r="C88">
        <v>1</v>
      </c>
      <c r="D88" t="s">
        <v>17</v>
      </c>
      <c r="E88">
        <v>0</v>
      </c>
      <c r="F88">
        <v>0</v>
      </c>
      <c r="G88" s="2">
        <v>1</v>
      </c>
      <c r="H88" t="s">
        <v>463</v>
      </c>
      <c r="I88" t="s">
        <v>463</v>
      </c>
    </row>
    <row r="89" spans="1:9" x14ac:dyDescent="0.25">
      <c r="A89" t="s">
        <v>308</v>
      </c>
      <c r="B89">
        <v>2022</v>
      </c>
      <c r="C89">
        <v>0</v>
      </c>
      <c r="D89" t="s">
        <v>17</v>
      </c>
      <c r="E89">
        <v>0</v>
      </c>
      <c r="F89">
        <v>0</v>
      </c>
      <c r="G89" t="s">
        <v>234</v>
      </c>
      <c r="H89" t="s">
        <v>463</v>
      </c>
      <c r="I89" t="s">
        <v>463</v>
      </c>
    </row>
    <row r="90" spans="1:9" x14ac:dyDescent="0.25">
      <c r="A90" t="s">
        <v>284</v>
      </c>
      <c r="B90">
        <v>2012</v>
      </c>
      <c r="C90">
        <v>0</v>
      </c>
      <c r="D90" t="s">
        <v>5</v>
      </c>
      <c r="E90">
        <v>1</v>
      </c>
      <c r="F90">
        <v>0</v>
      </c>
      <c r="G90">
        <v>3</v>
      </c>
    </row>
  </sheetData>
  <sortState xmlns:xlrd2="http://schemas.microsoft.com/office/spreadsheetml/2017/richdata2" ref="A2:F90">
    <sortCondition ref="A1:A90"/>
  </sortState>
  <conditionalFormatting sqref="C42:D42">
    <cfRule type="cellIs" dxfId="23" priority="2" operator="equal">
      <formula>"Technical Article"</formula>
    </cfRule>
    <cfRule type="cellIs" dxfId="22" priority="3" operator="equal">
      <formula>"Technical"</formula>
    </cfRule>
  </conditionalFormatting>
  <conditionalFormatting sqref="D1:D41 D43:D74 D77:D98 D101:E1048576">
    <cfRule type="cellIs" dxfId="21" priority="4" operator="equal">
      <formula>"Technical Article"</formula>
    </cfRule>
  </conditionalFormatting>
  <conditionalFormatting sqref="E1:E98">
    <cfRule type="cellIs" dxfId="20" priority="6" operator="equal">
      <formula>"Technical Article"</formula>
    </cfRule>
  </conditionalFormatting>
  <conditionalFormatting sqref="F1:F1048576">
    <cfRule type="cellIs" dxfId="19" priority="5" operator="equal">
      <formula>"Y"</formula>
    </cfRule>
  </conditionalFormatting>
  <conditionalFormatting sqref="G1:G1048576">
    <cfRule type="cellIs" dxfId="18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3FA3-4B32-4634-AB21-84A4FDD23A13}">
  <dimension ref="A1"/>
  <sheetViews>
    <sheetView workbookViewId="0">
      <selection activeCell="Q24" sqref="Q24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71729-B718-427B-A42D-4ACB44ED1A91}">
  <dimension ref="A1:P119"/>
  <sheetViews>
    <sheetView tabSelected="1" topLeftCell="A118" zoomScale="90" zoomScaleNormal="90" workbookViewId="0">
      <selection activeCell="K2" sqref="K2:K119"/>
    </sheetView>
  </sheetViews>
  <sheetFormatPr defaultColWidth="8.85546875" defaultRowHeight="15" x14ac:dyDescent="0.25"/>
  <cols>
    <col min="1" max="1" width="16.140625" customWidth="1"/>
    <col min="2" max="2" width="7.7109375" style="9" bestFit="1" customWidth="1"/>
    <col min="3" max="3" width="16.140625" customWidth="1"/>
    <col min="4" max="4" width="13.85546875" style="9" bestFit="1" customWidth="1"/>
    <col min="5" max="5" width="8.85546875" style="26" bestFit="1" customWidth="1"/>
    <col min="6" max="6" width="8.85546875" style="26"/>
    <col min="7" max="7" width="31" bestFit="1" customWidth="1"/>
    <col min="8" max="8" width="37.28515625" style="10" bestFit="1" customWidth="1"/>
    <col min="9" max="9" width="11" customWidth="1"/>
    <col min="10" max="10" width="14.28515625" style="11" bestFit="1" customWidth="1"/>
    <col min="11" max="11" width="20.85546875" style="9" customWidth="1"/>
    <col min="12" max="12" width="26.28515625" style="9" bestFit="1" customWidth="1"/>
    <col min="13" max="13" width="15.7109375" style="9" bestFit="1" customWidth="1"/>
    <col min="14" max="14" width="24.7109375" style="10" customWidth="1"/>
    <col min="15" max="15" width="37.28515625" style="10" customWidth="1"/>
  </cols>
  <sheetData>
    <row r="1" spans="1:16" s="2" customFormat="1" x14ac:dyDescent="0.25">
      <c r="A1" s="2" t="s">
        <v>0</v>
      </c>
      <c r="B1" s="6" t="s">
        <v>269</v>
      </c>
      <c r="C1" s="2" t="s">
        <v>1</v>
      </c>
      <c r="D1" s="6" t="s">
        <v>312</v>
      </c>
      <c r="E1" s="24" t="s">
        <v>313</v>
      </c>
      <c r="F1" s="24" t="s">
        <v>314</v>
      </c>
      <c r="G1" s="2" t="s">
        <v>315</v>
      </c>
      <c r="H1" s="7" t="s">
        <v>316</v>
      </c>
      <c r="I1" s="2" t="s">
        <v>602</v>
      </c>
      <c r="J1" s="8" t="s">
        <v>317</v>
      </c>
      <c r="K1" s="6" t="s">
        <v>318</v>
      </c>
      <c r="L1" s="6" t="s">
        <v>319</v>
      </c>
      <c r="M1" s="6" t="s">
        <v>503</v>
      </c>
      <c r="N1" s="7" t="s">
        <v>3</v>
      </c>
      <c r="O1" s="7" t="s">
        <v>714</v>
      </c>
      <c r="P1" s="2" t="s">
        <v>715</v>
      </c>
    </row>
    <row r="2" spans="1:16" ht="22.5" customHeight="1" x14ac:dyDescent="0.25">
      <c r="A2" t="s">
        <v>66</v>
      </c>
      <c r="B2" s="9">
        <v>2023</v>
      </c>
      <c r="C2" t="s">
        <v>6</v>
      </c>
      <c r="D2" s="9">
        <v>3</v>
      </c>
      <c r="E2" s="26" t="s">
        <v>420</v>
      </c>
      <c r="F2" s="26" t="s">
        <v>355</v>
      </c>
      <c r="G2" t="s">
        <v>421</v>
      </c>
      <c r="H2" s="12" t="s">
        <v>422</v>
      </c>
      <c r="I2" t="s">
        <v>654</v>
      </c>
      <c r="J2" s="11">
        <v>1</v>
      </c>
      <c r="K2" s="9">
        <v>24</v>
      </c>
      <c r="L2" s="9" t="s">
        <v>322</v>
      </c>
      <c r="M2" s="9" t="s">
        <v>504</v>
      </c>
      <c r="N2" s="10" t="s">
        <v>261</v>
      </c>
      <c r="O2" t="s">
        <v>590</v>
      </c>
    </row>
    <row r="3" spans="1:16" x14ac:dyDescent="0.25">
      <c r="A3" t="s">
        <v>64</v>
      </c>
      <c r="B3" s="9">
        <v>2023</v>
      </c>
      <c r="C3" t="s">
        <v>40</v>
      </c>
      <c r="D3" s="9">
        <v>1</v>
      </c>
      <c r="E3" s="26" t="s">
        <v>337</v>
      </c>
      <c r="F3" s="26" t="s">
        <v>337</v>
      </c>
      <c r="G3" t="s">
        <v>340</v>
      </c>
      <c r="H3" s="12" t="s">
        <v>400</v>
      </c>
      <c r="I3" t="s">
        <v>645</v>
      </c>
      <c r="J3" s="11">
        <v>2</v>
      </c>
      <c r="K3" s="9">
        <v>1</v>
      </c>
      <c r="L3" s="9" t="s">
        <v>324</v>
      </c>
      <c r="M3" s="9" t="s">
        <v>505</v>
      </c>
      <c r="O3" t="s">
        <v>583</v>
      </c>
    </row>
    <row r="4" spans="1:16" x14ac:dyDescent="0.25">
      <c r="A4" t="s">
        <v>108</v>
      </c>
      <c r="B4" s="9">
        <v>2021</v>
      </c>
      <c r="C4" t="s">
        <v>40</v>
      </c>
      <c r="D4" s="9">
        <v>1</v>
      </c>
      <c r="E4" s="26" t="s">
        <v>337</v>
      </c>
      <c r="F4" s="26" t="s">
        <v>339</v>
      </c>
      <c r="G4" t="s">
        <v>340</v>
      </c>
      <c r="H4" s="12" t="s">
        <v>514</v>
      </c>
      <c r="I4" t="s">
        <v>613</v>
      </c>
      <c r="J4" s="11">
        <v>3</v>
      </c>
      <c r="K4" s="9">
        <v>7</v>
      </c>
      <c r="L4" s="9" t="s">
        <v>324</v>
      </c>
      <c r="M4" s="9" t="s">
        <v>505</v>
      </c>
      <c r="N4" s="10" t="s">
        <v>109</v>
      </c>
      <c r="O4" t="s">
        <v>560</v>
      </c>
    </row>
    <row r="5" spans="1:16" x14ac:dyDescent="0.25">
      <c r="A5" t="s">
        <v>242</v>
      </c>
      <c r="B5" s="9">
        <v>2022</v>
      </c>
      <c r="C5" t="s">
        <v>40</v>
      </c>
      <c r="D5" s="9">
        <v>1</v>
      </c>
      <c r="E5" s="26" t="s">
        <v>116</v>
      </c>
      <c r="F5" s="26" t="s">
        <v>116</v>
      </c>
      <c r="G5" t="s">
        <v>326</v>
      </c>
      <c r="H5" s="12" t="s">
        <v>244</v>
      </c>
      <c r="I5" t="s">
        <v>604</v>
      </c>
      <c r="J5" s="11">
        <v>4</v>
      </c>
      <c r="K5" s="9">
        <v>1</v>
      </c>
      <c r="L5" s="9" t="s">
        <v>322</v>
      </c>
      <c r="M5" s="9" t="s">
        <v>504</v>
      </c>
      <c r="N5" s="10" t="s">
        <v>243</v>
      </c>
      <c r="O5" t="s">
        <v>556</v>
      </c>
    </row>
    <row r="6" spans="1:16" x14ac:dyDescent="0.25">
      <c r="A6" t="s">
        <v>114</v>
      </c>
      <c r="B6" s="9">
        <v>2008</v>
      </c>
      <c r="C6" t="s">
        <v>115</v>
      </c>
      <c r="D6" s="9">
        <v>4</v>
      </c>
      <c r="E6" s="24" t="s">
        <v>116</v>
      </c>
      <c r="F6" s="26" t="s">
        <v>116</v>
      </c>
      <c r="G6" t="s">
        <v>326</v>
      </c>
      <c r="H6" s="12" t="s">
        <v>97</v>
      </c>
      <c r="I6" t="s">
        <v>618</v>
      </c>
      <c r="J6" s="11">
        <v>5</v>
      </c>
      <c r="K6" s="9">
        <v>1</v>
      </c>
      <c r="L6" s="9" t="s">
        <v>324</v>
      </c>
      <c r="M6" s="9" t="s">
        <v>505</v>
      </c>
      <c r="O6" t="s">
        <v>564</v>
      </c>
    </row>
    <row r="7" spans="1:16" ht="75" x14ac:dyDescent="0.25">
      <c r="A7" t="s">
        <v>95</v>
      </c>
      <c r="B7" s="9">
        <v>2012</v>
      </c>
      <c r="C7" t="s">
        <v>332</v>
      </c>
      <c r="D7" s="9">
        <v>5</v>
      </c>
      <c r="E7" s="24" t="s">
        <v>116</v>
      </c>
      <c r="F7" s="26" t="s">
        <v>357</v>
      </c>
      <c r="G7" t="s">
        <v>326</v>
      </c>
      <c r="H7" s="12" t="s">
        <v>97</v>
      </c>
      <c r="I7" t="s">
        <v>618</v>
      </c>
      <c r="J7" s="11">
        <v>5</v>
      </c>
      <c r="K7" s="9">
        <v>1</v>
      </c>
      <c r="L7" s="9" t="s">
        <v>324</v>
      </c>
      <c r="M7" s="9" t="s">
        <v>505</v>
      </c>
      <c r="N7" s="10" t="s">
        <v>96</v>
      </c>
      <c r="O7" t="s">
        <v>565</v>
      </c>
    </row>
    <row r="8" spans="1:16" x14ac:dyDescent="0.25">
      <c r="A8" t="s">
        <v>199</v>
      </c>
      <c r="B8" s="9">
        <v>2011</v>
      </c>
      <c r="C8" t="s">
        <v>115</v>
      </c>
      <c r="D8" s="9">
        <v>4</v>
      </c>
      <c r="E8" s="26" t="s">
        <v>390</v>
      </c>
      <c r="F8" s="26" t="s">
        <v>390</v>
      </c>
      <c r="G8" t="s">
        <v>326</v>
      </c>
      <c r="H8" s="12" t="s">
        <v>97</v>
      </c>
      <c r="I8" t="s">
        <v>618</v>
      </c>
      <c r="J8" s="11">
        <v>5</v>
      </c>
      <c r="K8" s="9">
        <v>1</v>
      </c>
      <c r="L8" s="9" t="s">
        <v>324</v>
      </c>
      <c r="M8" s="9" t="s">
        <v>505</v>
      </c>
      <c r="O8" t="s">
        <v>566</v>
      </c>
    </row>
    <row r="9" spans="1:16" x14ac:dyDescent="0.25">
      <c r="A9" t="s">
        <v>133</v>
      </c>
      <c r="B9" s="9">
        <v>2015</v>
      </c>
      <c r="C9" t="s">
        <v>6</v>
      </c>
      <c r="D9" s="9">
        <v>3</v>
      </c>
      <c r="E9" s="26" t="s">
        <v>358</v>
      </c>
      <c r="F9" s="26" t="s">
        <v>355</v>
      </c>
      <c r="G9" t="s">
        <v>326</v>
      </c>
      <c r="H9" s="12" t="s">
        <v>135</v>
      </c>
      <c r="I9" t="s">
        <v>620</v>
      </c>
      <c r="J9" s="11">
        <v>6</v>
      </c>
      <c r="K9" s="9">
        <v>1</v>
      </c>
      <c r="L9" s="9" t="s">
        <v>324</v>
      </c>
      <c r="M9" s="9" t="s">
        <v>505</v>
      </c>
      <c r="N9" s="10" t="s">
        <v>134</v>
      </c>
      <c r="O9" t="s">
        <v>566</v>
      </c>
    </row>
    <row r="10" spans="1:16" ht="30" x14ac:dyDescent="0.25">
      <c r="A10" t="s">
        <v>213</v>
      </c>
      <c r="B10" s="9">
        <v>2017</v>
      </c>
      <c r="C10" t="s">
        <v>6</v>
      </c>
      <c r="D10" s="9">
        <v>3</v>
      </c>
      <c r="E10" s="26" t="s">
        <v>358</v>
      </c>
      <c r="F10" s="26" t="s">
        <v>355</v>
      </c>
      <c r="G10" t="s">
        <v>326</v>
      </c>
      <c r="H10" s="12" t="s">
        <v>135</v>
      </c>
      <c r="I10" t="s">
        <v>620</v>
      </c>
      <c r="J10" s="11">
        <v>6</v>
      </c>
      <c r="K10" s="9">
        <v>79</v>
      </c>
      <c r="L10" s="9" t="s">
        <v>324</v>
      </c>
      <c r="M10" s="9" t="s">
        <v>505</v>
      </c>
      <c r="N10" s="10" t="s">
        <v>214</v>
      </c>
      <c r="O10" t="s">
        <v>571</v>
      </c>
    </row>
    <row r="11" spans="1:16" ht="45" x14ac:dyDescent="0.25">
      <c r="A11" t="s">
        <v>148</v>
      </c>
      <c r="B11" s="9">
        <v>2017</v>
      </c>
      <c r="C11" t="s">
        <v>40</v>
      </c>
      <c r="D11" s="9">
        <v>1</v>
      </c>
      <c r="E11" s="24" t="s">
        <v>116</v>
      </c>
      <c r="F11" s="26">
        <v>25</v>
      </c>
      <c r="G11" t="s">
        <v>326</v>
      </c>
      <c r="H11" s="10" t="s">
        <v>515</v>
      </c>
      <c r="I11" t="s">
        <v>609</v>
      </c>
      <c r="J11" s="11">
        <v>7</v>
      </c>
      <c r="K11" s="9">
        <v>2</v>
      </c>
      <c r="L11" s="9" t="s">
        <v>324</v>
      </c>
      <c r="M11" s="9" t="s">
        <v>505</v>
      </c>
      <c r="N11" s="10" t="s">
        <v>149</v>
      </c>
      <c r="O11" t="s">
        <v>716</v>
      </c>
      <c r="P11" t="s">
        <v>717</v>
      </c>
    </row>
    <row r="12" spans="1:16" ht="30" x14ac:dyDescent="0.25">
      <c r="A12" t="s">
        <v>128</v>
      </c>
      <c r="B12" s="9">
        <v>2012</v>
      </c>
      <c r="C12" t="s">
        <v>40</v>
      </c>
      <c r="D12" s="9">
        <v>1</v>
      </c>
      <c r="E12" s="26" t="s">
        <v>397</v>
      </c>
      <c r="F12" s="26" t="s">
        <v>397</v>
      </c>
      <c r="G12" t="s">
        <v>326</v>
      </c>
      <c r="H12" s="10" t="s">
        <v>516</v>
      </c>
      <c r="I12" t="s">
        <v>642</v>
      </c>
      <c r="J12" s="11">
        <v>8</v>
      </c>
      <c r="K12" s="9">
        <v>10</v>
      </c>
      <c r="L12" s="9" t="s">
        <v>324</v>
      </c>
      <c r="M12" s="9" t="s">
        <v>505</v>
      </c>
      <c r="N12" s="10" t="s">
        <v>129</v>
      </c>
      <c r="O12" t="s">
        <v>161</v>
      </c>
    </row>
    <row r="13" spans="1:16" x14ac:dyDescent="0.25">
      <c r="A13" t="s">
        <v>138</v>
      </c>
      <c r="B13" s="9">
        <v>2015</v>
      </c>
      <c r="C13" t="s">
        <v>139</v>
      </c>
      <c r="D13" s="9">
        <v>10</v>
      </c>
      <c r="E13" s="26" t="s">
        <v>417</v>
      </c>
      <c r="F13" s="26" t="s">
        <v>417</v>
      </c>
      <c r="G13" t="s">
        <v>326</v>
      </c>
      <c r="H13" s="12" t="s">
        <v>418</v>
      </c>
      <c r="I13" t="s">
        <v>653</v>
      </c>
      <c r="J13" s="11">
        <v>9</v>
      </c>
      <c r="K13" s="9">
        <v>1</v>
      </c>
      <c r="L13" s="9" t="s">
        <v>324</v>
      </c>
      <c r="M13" s="9" t="s">
        <v>505</v>
      </c>
      <c r="O13" t="s">
        <v>127</v>
      </c>
    </row>
    <row r="14" spans="1:16" x14ac:dyDescent="0.25">
      <c r="A14" t="s">
        <v>76</v>
      </c>
      <c r="B14" s="9">
        <v>2024</v>
      </c>
      <c r="C14" t="s">
        <v>6</v>
      </c>
      <c r="D14" s="9">
        <v>3</v>
      </c>
      <c r="E14" s="26" t="s">
        <v>359</v>
      </c>
      <c r="F14" s="26" t="s">
        <v>360</v>
      </c>
      <c r="G14" t="s">
        <v>326</v>
      </c>
      <c r="H14" s="12" t="s">
        <v>78</v>
      </c>
      <c r="I14" t="s">
        <v>621</v>
      </c>
      <c r="J14" s="11">
        <v>10</v>
      </c>
      <c r="K14" s="9">
        <v>51</v>
      </c>
      <c r="L14" s="9" t="s">
        <v>324</v>
      </c>
      <c r="M14" s="9" t="s">
        <v>505</v>
      </c>
      <c r="N14" s="9" t="s">
        <v>77</v>
      </c>
      <c r="O14" t="s">
        <v>567</v>
      </c>
    </row>
    <row r="15" spans="1:16" x14ac:dyDescent="0.25">
      <c r="A15" t="s">
        <v>185</v>
      </c>
      <c r="B15" s="9">
        <v>2022</v>
      </c>
      <c r="C15" t="s">
        <v>6</v>
      </c>
      <c r="D15" s="9">
        <v>3</v>
      </c>
      <c r="E15" s="24" t="s">
        <v>116</v>
      </c>
      <c r="F15" s="26" t="s">
        <v>328</v>
      </c>
      <c r="G15" t="s">
        <v>326</v>
      </c>
      <c r="H15" s="12" t="s">
        <v>517</v>
      </c>
      <c r="I15" t="s">
        <v>605</v>
      </c>
      <c r="J15" s="11">
        <v>11</v>
      </c>
      <c r="K15" s="9">
        <v>25</v>
      </c>
      <c r="L15" s="9" t="s">
        <v>324</v>
      </c>
      <c r="M15" s="9" t="s">
        <v>505</v>
      </c>
      <c r="O15" t="s">
        <v>127</v>
      </c>
    </row>
    <row r="16" spans="1:16" ht="75" x14ac:dyDescent="0.25">
      <c r="A16" t="s">
        <v>123</v>
      </c>
      <c r="B16" s="9">
        <v>2010</v>
      </c>
      <c r="C16" t="s">
        <v>40</v>
      </c>
      <c r="D16" s="9">
        <v>1</v>
      </c>
      <c r="E16" s="24" t="s">
        <v>116</v>
      </c>
      <c r="F16" s="26" t="s">
        <v>401</v>
      </c>
      <c r="G16" t="s">
        <v>326</v>
      </c>
      <c r="H16" s="10" t="s">
        <v>518</v>
      </c>
      <c r="I16" t="s">
        <v>646</v>
      </c>
      <c r="J16" s="11">
        <v>12</v>
      </c>
      <c r="K16" s="9">
        <v>1</v>
      </c>
      <c r="L16" s="9" t="s">
        <v>324</v>
      </c>
      <c r="M16" s="9" t="s">
        <v>505</v>
      </c>
      <c r="N16" s="10" t="s">
        <v>124</v>
      </c>
      <c r="O16" t="s">
        <v>564</v>
      </c>
    </row>
    <row r="17" spans="1:16" ht="60" x14ac:dyDescent="0.25">
      <c r="A17" t="s">
        <v>175</v>
      </c>
      <c r="B17" s="9">
        <v>2020</v>
      </c>
      <c r="C17" t="s">
        <v>59</v>
      </c>
      <c r="D17" s="9">
        <v>2</v>
      </c>
      <c r="E17" s="26">
        <v>50</v>
      </c>
      <c r="F17" s="26">
        <v>50</v>
      </c>
      <c r="G17" t="s">
        <v>326</v>
      </c>
      <c r="H17" s="12" t="s">
        <v>519</v>
      </c>
      <c r="I17" t="s">
        <v>608</v>
      </c>
      <c r="J17" s="11">
        <v>13</v>
      </c>
      <c r="K17" s="9">
        <v>40</v>
      </c>
      <c r="L17" s="9" t="s">
        <v>322</v>
      </c>
      <c r="M17" s="9" t="s">
        <v>504</v>
      </c>
      <c r="N17" s="10" t="s">
        <v>260</v>
      </c>
      <c r="O17" t="s">
        <v>558</v>
      </c>
    </row>
    <row r="18" spans="1:16" x14ac:dyDescent="0.25">
      <c r="A18" t="s">
        <v>22</v>
      </c>
      <c r="B18" s="9">
        <v>2023</v>
      </c>
      <c r="C18" t="s">
        <v>330</v>
      </c>
      <c r="D18" s="9">
        <v>7</v>
      </c>
      <c r="E18" s="24" t="s">
        <v>116</v>
      </c>
      <c r="F18" s="26" t="s">
        <v>116</v>
      </c>
      <c r="G18" t="s">
        <v>326</v>
      </c>
      <c r="H18" s="12" t="s">
        <v>24</v>
      </c>
      <c r="I18" t="s">
        <v>632</v>
      </c>
      <c r="J18" s="11">
        <v>14</v>
      </c>
      <c r="K18" s="9">
        <v>3</v>
      </c>
      <c r="L18" s="9" t="s">
        <v>324</v>
      </c>
      <c r="M18" s="9" t="s">
        <v>505</v>
      </c>
      <c r="N18" s="10" t="s">
        <v>23</v>
      </c>
      <c r="O18" t="s">
        <v>575</v>
      </c>
    </row>
    <row r="19" spans="1:16" ht="15" customHeight="1" x14ac:dyDescent="0.25">
      <c r="A19" t="s">
        <v>91</v>
      </c>
      <c r="B19" s="9">
        <v>2012</v>
      </c>
      <c r="C19" t="s">
        <v>40</v>
      </c>
      <c r="D19" s="9">
        <v>1</v>
      </c>
      <c r="E19" s="26" t="s">
        <v>404</v>
      </c>
      <c r="F19" s="26" t="s">
        <v>404</v>
      </c>
      <c r="G19" t="s">
        <v>326</v>
      </c>
      <c r="H19" s="12" t="s">
        <v>24</v>
      </c>
      <c r="I19" t="s">
        <v>632</v>
      </c>
      <c r="J19" s="11">
        <v>14</v>
      </c>
      <c r="K19" s="9">
        <v>2</v>
      </c>
      <c r="L19" s="9" t="s">
        <v>324</v>
      </c>
      <c r="M19" s="9" t="s">
        <v>505</v>
      </c>
      <c r="N19" s="10" t="s">
        <v>92</v>
      </c>
      <c r="P19" t="s">
        <v>93</v>
      </c>
    </row>
    <row r="20" spans="1:16" ht="17.25" customHeight="1" x14ac:dyDescent="0.25">
      <c r="A20" t="s">
        <v>88</v>
      </c>
      <c r="B20" s="9">
        <v>2010</v>
      </c>
      <c r="C20" t="s">
        <v>332</v>
      </c>
      <c r="D20" s="9">
        <v>5</v>
      </c>
      <c r="E20" s="26" t="s">
        <v>361</v>
      </c>
      <c r="F20" s="26" t="s">
        <v>334</v>
      </c>
      <c r="G20" t="s">
        <v>326</v>
      </c>
      <c r="H20" s="12" t="s">
        <v>89</v>
      </c>
      <c r="I20" t="s">
        <v>622</v>
      </c>
      <c r="J20" s="11">
        <v>15</v>
      </c>
      <c r="K20" s="9">
        <v>1</v>
      </c>
      <c r="L20" s="9" t="s">
        <v>324</v>
      </c>
      <c r="M20" s="9" t="s">
        <v>505</v>
      </c>
      <c r="O20" t="s">
        <v>557</v>
      </c>
    </row>
    <row r="21" spans="1:16" x14ac:dyDescent="0.25">
      <c r="A21" t="s">
        <v>99</v>
      </c>
      <c r="B21" s="9">
        <v>2013</v>
      </c>
      <c r="C21" t="s">
        <v>59</v>
      </c>
      <c r="D21" s="9">
        <v>2</v>
      </c>
      <c r="E21" s="24" t="s">
        <v>116</v>
      </c>
      <c r="F21" s="26" t="s">
        <v>116</v>
      </c>
      <c r="G21" t="s">
        <v>326</v>
      </c>
      <c r="H21" s="12" t="s">
        <v>89</v>
      </c>
      <c r="I21" t="s">
        <v>622</v>
      </c>
      <c r="J21" s="11">
        <v>15</v>
      </c>
      <c r="K21" s="9">
        <v>32</v>
      </c>
      <c r="L21" s="9" t="s">
        <v>322</v>
      </c>
      <c r="M21" s="9" t="s">
        <v>504</v>
      </c>
      <c r="N21" s="10">
        <v>32</v>
      </c>
      <c r="O21" t="s">
        <v>718</v>
      </c>
      <c r="P21" t="s">
        <v>719</v>
      </c>
    </row>
    <row r="22" spans="1:16" x14ac:dyDescent="0.25">
      <c r="A22" t="s">
        <v>99</v>
      </c>
      <c r="B22" s="9">
        <v>2013</v>
      </c>
      <c r="C22" t="s">
        <v>362</v>
      </c>
      <c r="D22" s="9">
        <v>5</v>
      </c>
      <c r="E22" s="26" t="s">
        <v>363</v>
      </c>
      <c r="F22" s="26" t="s">
        <v>363</v>
      </c>
      <c r="G22" t="s">
        <v>326</v>
      </c>
      <c r="H22" s="12" t="s">
        <v>89</v>
      </c>
      <c r="I22" t="s">
        <v>622</v>
      </c>
      <c r="J22" s="11">
        <v>15</v>
      </c>
      <c r="K22" s="9">
        <v>17</v>
      </c>
      <c r="L22" s="9" t="s">
        <v>322</v>
      </c>
      <c r="M22" s="9" t="s">
        <v>504</v>
      </c>
      <c r="N22" s="10">
        <v>17</v>
      </c>
      <c r="O22" s="10" t="s">
        <v>680</v>
      </c>
      <c r="P22" t="s">
        <v>720</v>
      </c>
    </row>
    <row r="23" spans="1:16" x14ac:dyDescent="0.25">
      <c r="A23" t="s">
        <v>122</v>
      </c>
      <c r="B23" s="9">
        <v>2009</v>
      </c>
      <c r="C23" t="s">
        <v>369</v>
      </c>
      <c r="D23" s="9">
        <v>9</v>
      </c>
      <c r="E23" s="26" t="s">
        <v>370</v>
      </c>
      <c r="F23" s="26" t="s">
        <v>371</v>
      </c>
      <c r="G23" t="s">
        <v>326</v>
      </c>
      <c r="H23" s="12" t="s">
        <v>89</v>
      </c>
      <c r="I23" t="s">
        <v>626</v>
      </c>
      <c r="J23" s="11">
        <v>15</v>
      </c>
      <c r="K23" s="9">
        <v>1</v>
      </c>
      <c r="L23" s="9" t="s">
        <v>324</v>
      </c>
      <c r="M23" s="9" t="s">
        <v>505</v>
      </c>
      <c r="O23" t="s">
        <v>570</v>
      </c>
    </row>
    <row r="24" spans="1:16" ht="165" x14ac:dyDescent="0.25">
      <c r="A24" t="s">
        <v>222</v>
      </c>
      <c r="B24" s="9">
        <v>2020</v>
      </c>
      <c r="C24" t="s">
        <v>40</v>
      </c>
      <c r="D24" s="9">
        <v>1</v>
      </c>
      <c r="E24" s="26" t="s">
        <v>359</v>
      </c>
      <c r="F24" s="26" t="s">
        <v>371</v>
      </c>
      <c r="G24" t="s">
        <v>326</v>
      </c>
      <c r="H24" s="12" t="s">
        <v>89</v>
      </c>
      <c r="I24" t="s">
        <v>622</v>
      </c>
      <c r="J24" s="11">
        <v>15</v>
      </c>
      <c r="K24" s="9">
        <v>11</v>
      </c>
      <c r="L24" s="9" t="s">
        <v>324</v>
      </c>
      <c r="M24" s="9" t="s">
        <v>505</v>
      </c>
      <c r="N24" s="10" t="s">
        <v>309</v>
      </c>
      <c r="O24" t="s">
        <v>588</v>
      </c>
    </row>
    <row r="25" spans="1:16" ht="60" x14ac:dyDescent="0.25">
      <c r="A25" t="s">
        <v>101</v>
      </c>
      <c r="B25" s="9">
        <v>2016</v>
      </c>
      <c r="C25" t="s">
        <v>6</v>
      </c>
      <c r="D25" s="9">
        <v>3</v>
      </c>
      <c r="E25" s="26" t="s">
        <v>419</v>
      </c>
      <c r="F25" s="26" t="s">
        <v>377</v>
      </c>
      <c r="G25" t="s">
        <v>326</v>
      </c>
      <c r="H25" s="12" t="s">
        <v>89</v>
      </c>
      <c r="I25" t="s">
        <v>626</v>
      </c>
      <c r="J25" s="11">
        <v>15</v>
      </c>
      <c r="K25" s="9">
        <v>22</v>
      </c>
      <c r="L25" s="9" t="s">
        <v>324</v>
      </c>
      <c r="M25" s="9" t="s">
        <v>505</v>
      </c>
      <c r="N25" s="10" t="s">
        <v>102</v>
      </c>
      <c r="O25" t="s">
        <v>589</v>
      </c>
    </row>
    <row r="26" spans="1:16" ht="75" x14ac:dyDescent="0.25">
      <c r="A26" t="s">
        <v>187</v>
      </c>
      <c r="B26" s="9">
        <v>2007</v>
      </c>
      <c r="C26" t="s">
        <v>332</v>
      </c>
      <c r="D26" s="9">
        <v>5</v>
      </c>
      <c r="E26" s="26" t="s">
        <v>364</v>
      </c>
      <c r="F26" s="26" t="s">
        <v>364</v>
      </c>
      <c r="G26" t="s">
        <v>365</v>
      </c>
      <c r="H26" s="12" t="s">
        <v>520</v>
      </c>
      <c r="I26" t="s">
        <v>623</v>
      </c>
      <c r="J26" s="11">
        <v>16</v>
      </c>
      <c r="K26" s="9">
        <v>10</v>
      </c>
      <c r="L26" s="9" t="s">
        <v>324</v>
      </c>
      <c r="M26" s="9" t="s">
        <v>505</v>
      </c>
      <c r="N26" s="10" t="s">
        <v>366</v>
      </c>
      <c r="O26" t="s">
        <v>568</v>
      </c>
    </row>
    <row r="27" spans="1:16" x14ac:dyDescent="0.25">
      <c r="A27" t="s">
        <v>311</v>
      </c>
      <c r="B27" s="9">
        <v>2021</v>
      </c>
      <c r="C27" t="s">
        <v>40</v>
      </c>
      <c r="D27" s="9">
        <v>1</v>
      </c>
      <c r="E27" s="26" t="s">
        <v>432</v>
      </c>
      <c r="F27" s="26" t="s">
        <v>432</v>
      </c>
      <c r="G27" s="14" t="s">
        <v>433</v>
      </c>
      <c r="H27" s="10" t="s">
        <v>507</v>
      </c>
      <c r="I27" t="s">
        <v>657</v>
      </c>
      <c r="J27" s="11">
        <v>17</v>
      </c>
      <c r="K27" s="9">
        <v>3</v>
      </c>
      <c r="L27" s="9" t="s">
        <v>324</v>
      </c>
      <c r="M27" s="9" t="s">
        <v>505</v>
      </c>
      <c r="N27" s="10" t="s">
        <v>230</v>
      </c>
      <c r="O27" t="s">
        <v>592</v>
      </c>
    </row>
    <row r="28" spans="1:16" x14ac:dyDescent="0.25">
      <c r="A28" t="s">
        <v>311</v>
      </c>
      <c r="B28" s="9">
        <v>2021</v>
      </c>
      <c r="C28" t="s">
        <v>40</v>
      </c>
      <c r="D28" s="9">
        <v>1</v>
      </c>
      <c r="E28" s="26" t="s">
        <v>432</v>
      </c>
      <c r="F28" s="26" t="s">
        <v>432</v>
      </c>
      <c r="G28" s="14" t="s">
        <v>433</v>
      </c>
      <c r="H28" s="10" t="s">
        <v>508</v>
      </c>
      <c r="I28" t="s">
        <v>658</v>
      </c>
      <c r="J28" s="11">
        <v>18</v>
      </c>
      <c r="K28" s="9">
        <v>3</v>
      </c>
      <c r="L28" s="9" t="s">
        <v>324</v>
      </c>
      <c r="M28" s="9" t="s">
        <v>505</v>
      </c>
      <c r="O28" t="s">
        <v>592</v>
      </c>
    </row>
    <row r="29" spans="1:16" ht="45" x14ac:dyDescent="0.25">
      <c r="A29" t="s">
        <v>168</v>
      </c>
      <c r="B29" s="9">
        <v>2019</v>
      </c>
      <c r="C29" t="s">
        <v>40</v>
      </c>
      <c r="D29" s="9">
        <v>1</v>
      </c>
      <c r="E29" s="26" t="s">
        <v>337</v>
      </c>
      <c r="F29" s="26" t="s">
        <v>337</v>
      </c>
      <c r="G29" t="s">
        <v>338</v>
      </c>
      <c r="H29" s="12" t="s">
        <v>430</v>
      </c>
      <c r="I29" t="s">
        <v>691</v>
      </c>
      <c r="J29" s="11">
        <v>19</v>
      </c>
      <c r="K29" s="9">
        <v>18</v>
      </c>
      <c r="L29" s="9" t="s">
        <v>324</v>
      </c>
      <c r="M29" s="9" t="s">
        <v>505</v>
      </c>
      <c r="N29" s="10" t="s">
        <v>169</v>
      </c>
      <c r="O29" t="s">
        <v>154</v>
      </c>
    </row>
    <row r="30" spans="1:16" ht="75" x14ac:dyDescent="0.25">
      <c r="A30" t="s">
        <v>310</v>
      </c>
      <c r="B30" s="9">
        <v>2021</v>
      </c>
      <c r="C30" t="s">
        <v>40</v>
      </c>
      <c r="D30" s="9">
        <v>1</v>
      </c>
      <c r="E30" s="26" t="s">
        <v>428</v>
      </c>
      <c r="F30" s="26" t="s">
        <v>428</v>
      </c>
      <c r="G30" t="s">
        <v>429</v>
      </c>
      <c r="H30" s="12" t="s">
        <v>430</v>
      </c>
      <c r="I30" t="s">
        <v>691</v>
      </c>
      <c r="J30" s="11">
        <v>19</v>
      </c>
      <c r="K30" s="9">
        <v>27</v>
      </c>
      <c r="L30" s="9" t="s">
        <v>324</v>
      </c>
      <c r="M30" s="9" t="s">
        <v>505</v>
      </c>
      <c r="N30" s="10" t="s">
        <v>431</v>
      </c>
      <c r="O30" t="s">
        <v>560</v>
      </c>
    </row>
    <row r="31" spans="1:16" x14ac:dyDescent="0.25">
      <c r="A31" t="s">
        <v>311</v>
      </c>
      <c r="B31" s="9">
        <v>2021</v>
      </c>
      <c r="C31" t="s">
        <v>40</v>
      </c>
      <c r="D31" s="9">
        <v>1</v>
      </c>
      <c r="E31" s="26" t="s">
        <v>432</v>
      </c>
      <c r="F31" s="26" t="s">
        <v>432</v>
      </c>
      <c r="G31" s="14" t="s">
        <v>433</v>
      </c>
      <c r="H31" s="10" t="s">
        <v>510</v>
      </c>
      <c r="I31" t="s">
        <v>660</v>
      </c>
      <c r="J31" s="11">
        <v>20</v>
      </c>
      <c r="K31" s="9">
        <v>3</v>
      </c>
      <c r="L31" s="9" t="s">
        <v>324</v>
      </c>
      <c r="M31" s="9" t="s">
        <v>505</v>
      </c>
      <c r="O31" t="s">
        <v>592</v>
      </c>
    </row>
    <row r="32" spans="1:16" x14ac:dyDescent="0.25">
      <c r="A32" t="s">
        <v>311</v>
      </c>
      <c r="B32" s="9">
        <v>2021</v>
      </c>
      <c r="C32" t="s">
        <v>40</v>
      </c>
      <c r="D32" s="9">
        <v>1</v>
      </c>
      <c r="E32" s="26" t="s">
        <v>432</v>
      </c>
      <c r="F32" s="26" t="s">
        <v>432</v>
      </c>
      <c r="G32" s="14" t="s">
        <v>433</v>
      </c>
      <c r="H32" s="10" t="s">
        <v>511</v>
      </c>
      <c r="I32" t="s">
        <v>661</v>
      </c>
      <c r="J32" s="11">
        <v>21</v>
      </c>
      <c r="K32" s="9">
        <v>3</v>
      </c>
      <c r="L32" s="9" t="s">
        <v>324</v>
      </c>
      <c r="M32" s="9" t="s">
        <v>505</v>
      </c>
      <c r="O32" t="s">
        <v>592</v>
      </c>
    </row>
    <row r="33" spans="1:15" x14ac:dyDescent="0.25">
      <c r="A33" t="s">
        <v>311</v>
      </c>
      <c r="B33" s="9">
        <v>2021</v>
      </c>
      <c r="C33" t="s">
        <v>40</v>
      </c>
      <c r="D33" s="9">
        <v>1</v>
      </c>
      <c r="E33" s="26" t="s">
        <v>432</v>
      </c>
      <c r="F33" s="26" t="s">
        <v>432</v>
      </c>
      <c r="G33" s="14" t="s">
        <v>433</v>
      </c>
      <c r="H33" s="10" t="s">
        <v>512</v>
      </c>
      <c r="I33" t="s">
        <v>612</v>
      </c>
      <c r="J33" s="11">
        <v>22</v>
      </c>
      <c r="K33" s="9">
        <v>3</v>
      </c>
      <c r="L33" s="9" t="s">
        <v>324</v>
      </c>
      <c r="M33" s="9" t="s">
        <v>505</v>
      </c>
      <c r="O33" t="s">
        <v>592</v>
      </c>
    </row>
    <row r="34" spans="1:15" x14ac:dyDescent="0.25">
      <c r="A34" t="s">
        <v>311</v>
      </c>
      <c r="B34" s="9">
        <v>2021</v>
      </c>
      <c r="C34" t="s">
        <v>40</v>
      </c>
      <c r="D34" s="9">
        <v>1</v>
      </c>
      <c r="E34" s="26" t="s">
        <v>432</v>
      </c>
      <c r="F34" s="26" t="s">
        <v>432</v>
      </c>
      <c r="G34" s="14" t="s">
        <v>433</v>
      </c>
      <c r="H34" s="10" t="s">
        <v>513</v>
      </c>
      <c r="I34" t="s">
        <v>662</v>
      </c>
      <c r="J34" s="11">
        <v>23</v>
      </c>
      <c r="K34" s="9">
        <v>3</v>
      </c>
      <c r="L34" s="9" t="s">
        <v>324</v>
      </c>
      <c r="M34" s="9" t="s">
        <v>505</v>
      </c>
      <c r="O34" t="s">
        <v>592</v>
      </c>
    </row>
    <row r="35" spans="1:15" x14ac:dyDescent="0.25">
      <c r="A35" t="s">
        <v>173</v>
      </c>
      <c r="B35" s="9">
        <v>2020</v>
      </c>
      <c r="C35" t="s">
        <v>424</v>
      </c>
      <c r="D35" s="9">
        <v>7</v>
      </c>
      <c r="E35" s="26" t="s">
        <v>355</v>
      </c>
      <c r="F35" s="26" t="s">
        <v>425</v>
      </c>
      <c r="G35" t="s">
        <v>426</v>
      </c>
      <c r="H35" s="12" t="s">
        <v>427</v>
      </c>
      <c r="I35" t="s">
        <v>656</v>
      </c>
      <c r="J35" s="11">
        <v>24</v>
      </c>
      <c r="K35" s="9">
        <v>1</v>
      </c>
      <c r="L35" s="9" t="s">
        <v>324</v>
      </c>
      <c r="M35" s="9" t="s">
        <v>505</v>
      </c>
      <c r="O35" t="s">
        <v>591</v>
      </c>
    </row>
    <row r="36" spans="1:15" ht="30" x14ac:dyDescent="0.25">
      <c r="A36" t="s">
        <v>39</v>
      </c>
      <c r="B36" s="9">
        <v>2023</v>
      </c>
      <c r="C36" t="s">
        <v>40</v>
      </c>
      <c r="D36" s="9">
        <v>1</v>
      </c>
      <c r="E36" s="26" t="s">
        <v>349</v>
      </c>
      <c r="F36" s="26" t="s">
        <v>349</v>
      </c>
      <c r="G36" t="s">
        <v>350</v>
      </c>
      <c r="H36" s="12" t="s">
        <v>521</v>
      </c>
      <c r="I36" t="s">
        <v>615</v>
      </c>
      <c r="J36" s="11">
        <v>25</v>
      </c>
      <c r="K36" s="9">
        <v>2</v>
      </c>
      <c r="L36" s="9" t="s">
        <v>324</v>
      </c>
      <c r="M36" s="9" t="s">
        <v>505</v>
      </c>
      <c r="N36" s="10" t="s">
        <v>41</v>
      </c>
      <c r="O36" t="s">
        <v>42</v>
      </c>
    </row>
    <row r="37" spans="1:15" x14ac:dyDescent="0.25">
      <c r="A37" t="s">
        <v>145</v>
      </c>
      <c r="B37" s="9">
        <v>2016</v>
      </c>
      <c r="C37" t="s">
        <v>115</v>
      </c>
      <c r="D37" s="9">
        <v>4</v>
      </c>
      <c r="E37" s="24" t="s">
        <v>116</v>
      </c>
      <c r="F37" s="26" t="s">
        <v>116</v>
      </c>
      <c r="G37" t="s">
        <v>354</v>
      </c>
      <c r="H37" s="12" t="s">
        <v>147</v>
      </c>
      <c r="I37" t="s">
        <v>650</v>
      </c>
      <c r="J37" s="11">
        <v>26</v>
      </c>
      <c r="K37" s="9">
        <v>3</v>
      </c>
      <c r="L37" s="9" t="s">
        <v>324</v>
      </c>
      <c r="M37" s="9" t="s">
        <v>505</v>
      </c>
      <c r="N37" s="10" t="s">
        <v>146</v>
      </c>
      <c r="O37" t="s">
        <v>586</v>
      </c>
    </row>
    <row r="38" spans="1:15" ht="16.5" customHeight="1" x14ac:dyDescent="0.25">
      <c r="A38" t="s">
        <v>130</v>
      </c>
      <c r="B38" s="9">
        <v>2013</v>
      </c>
      <c r="C38" t="s">
        <v>115</v>
      </c>
      <c r="D38" s="9">
        <v>4</v>
      </c>
      <c r="E38" s="26" t="s">
        <v>440</v>
      </c>
      <c r="F38" s="26" t="s">
        <v>440</v>
      </c>
      <c r="G38" t="s">
        <v>354</v>
      </c>
      <c r="H38" s="12" t="s">
        <v>441</v>
      </c>
      <c r="I38" t="s">
        <v>668</v>
      </c>
      <c r="J38" s="11">
        <v>27</v>
      </c>
      <c r="K38" s="9">
        <v>2</v>
      </c>
      <c r="L38" s="9" t="s">
        <v>324</v>
      </c>
      <c r="M38" s="9" t="s">
        <v>505</v>
      </c>
      <c r="N38" s="10" t="s">
        <v>131</v>
      </c>
      <c r="O38" t="s">
        <v>597</v>
      </c>
    </row>
    <row r="39" spans="1:15" ht="60" x14ac:dyDescent="0.25">
      <c r="A39" t="s">
        <v>32</v>
      </c>
      <c r="B39" s="9">
        <v>2023</v>
      </c>
      <c r="C39" t="s">
        <v>40</v>
      </c>
      <c r="D39" s="9">
        <v>1</v>
      </c>
      <c r="E39" s="26" t="s">
        <v>353</v>
      </c>
      <c r="F39" s="26" t="s">
        <v>337</v>
      </c>
      <c r="G39" t="s">
        <v>354</v>
      </c>
      <c r="H39" s="12" t="s">
        <v>522</v>
      </c>
      <c r="I39" t="s">
        <v>617</v>
      </c>
      <c r="J39" s="11">
        <v>28</v>
      </c>
      <c r="K39" s="9">
        <v>9</v>
      </c>
      <c r="L39" s="9" t="s">
        <v>322</v>
      </c>
      <c r="M39" s="9" t="s">
        <v>504</v>
      </c>
      <c r="N39" s="10" t="s">
        <v>112</v>
      </c>
      <c r="O39" t="s">
        <v>563</v>
      </c>
    </row>
    <row r="40" spans="1:15" x14ac:dyDescent="0.25">
      <c r="A40" t="s">
        <v>311</v>
      </c>
      <c r="B40" s="9">
        <v>2021</v>
      </c>
      <c r="C40" t="s">
        <v>40</v>
      </c>
      <c r="D40" s="9">
        <v>1</v>
      </c>
      <c r="E40" s="26" t="s">
        <v>432</v>
      </c>
      <c r="F40" s="26" t="s">
        <v>432</v>
      </c>
      <c r="G40" s="14" t="s">
        <v>433</v>
      </c>
      <c r="H40" s="10" t="s">
        <v>509</v>
      </c>
      <c r="I40" t="s">
        <v>659</v>
      </c>
      <c r="J40" s="11">
        <v>29</v>
      </c>
      <c r="K40" s="9">
        <v>3</v>
      </c>
      <c r="L40" s="9" t="s">
        <v>324</v>
      </c>
      <c r="M40" s="9" t="s">
        <v>505</v>
      </c>
      <c r="O40" t="s">
        <v>593</v>
      </c>
    </row>
    <row r="41" spans="1:15" x14ac:dyDescent="0.25">
      <c r="A41" t="s">
        <v>219</v>
      </c>
      <c r="B41" s="9">
        <v>2018</v>
      </c>
      <c r="C41" t="s">
        <v>341</v>
      </c>
      <c r="D41" s="9">
        <v>8</v>
      </c>
      <c r="E41" s="26" t="s">
        <v>342</v>
      </c>
      <c r="F41" s="26" t="s">
        <v>343</v>
      </c>
      <c r="G41" t="s">
        <v>344</v>
      </c>
      <c r="H41" s="12" t="s">
        <v>74</v>
      </c>
      <c r="I41" t="s">
        <v>614</v>
      </c>
      <c r="J41" s="11">
        <v>30</v>
      </c>
      <c r="K41" s="9">
        <v>1</v>
      </c>
      <c r="L41" s="9" t="s">
        <v>324</v>
      </c>
      <c r="M41" s="9" t="s">
        <v>505</v>
      </c>
      <c r="O41" t="s">
        <v>561</v>
      </c>
    </row>
    <row r="42" spans="1:15" ht="90" x14ac:dyDescent="0.25">
      <c r="A42" t="s">
        <v>141</v>
      </c>
      <c r="B42" s="9">
        <v>2015</v>
      </c>
      <c r="C42" t="s">
        <v>346</v>
      </c>
      <c r="D42" s="9">
        <v>8</v>
      </c>
      <c r="E42" s="26" t="s">
        <v>347</v>
      </c>
      <c r="F42" s="26" t="s">
        <v>347</v>
      </c>
      <c r="G42" t="s">
        <v>344</v>
      </c>
      <c r="H42" s="12" t="s">
        <v>74</v>
      </c>
      <c r="I42" t="s">
        <v>614</v>
      </c>
      <c r="J42" s="11">
        <v>30</v>
      </c>
      <c r="K42" s="9">
        <v>3</v>
      </c>
      <c r="L42" s="9" t="s">
        <v>324</v>
      </c>
      <c r="M42" s="9" t="s">
        <v>505</v>
      </c>
      <c r="N42" s="10" t="s">
        <v>143</v>
      </c>
      <c r="O42" t="s">
        <v>562</v>
      </c>
    </row>
    <row r="43" spans="1:15" ht="17.25" customHeight="1" x14ac:dyDescent="0.25">
      <c r="A43" t="s">
        <v>250</v>
      </c>
      <c r="B43" s="9">
        <v>2012</v>
      </c>
      <c r="C43" t="s">
        <v>59</v>
      </c>
      <c r="D43" s="9">
        <v>2</v>
      </c>
      <c r="E43" s="26" t="s">
        <v>372</v>
      </c>
      <c r="F43" s="26" t="s">
        <v>372</v>
      </c>
      <c r="G43" t="s">
        <v>344</v>
      </c>
      <c r="H43" s="12" t="s">
        <v>74</v>
      </c>
      <c r="I43" t="s">
        <v>614</v>
      </c>
      <c r="J43" s="11">
        <v>30</v>
      </c>
      <c r="K43" s="9">
        <v>14</v>
      </c>
      <c r="L43" s="9" t="s">
        <v>324</v>
      </c>
      <c r="M43" s="9" t="s">
        <v>505</v>
      </c>
      <c r="N43" s="10" t="s">
        <v>252</v>
      </c>
      <c r="O43" t="s">
        <v>572</v>
      </c>
    </row>
    <row r="44" spans="1:15" x14ac:dyDescent="0.25">
      <c r="A44" t="s">
        <v>72</v>
      </c>
      <c r="B44" s="9">
        <v>2024</v>
      </c>
      <c r="C44" t="s">
        <v>59</v>
      </c>
      <c r="D44" s="9">
        <v>2</v>
      </c>
      <c r="E44" s="26" t="s">
        <v>336</v>
      </c>
      <c r="F44" s="26" t="s">
        <v>336</v>
      </c>
      <c r="G44" t="s">
        <v>354</v>
      </c>
      <c r="H44" s="12" t="s">
        <v>74</v>
      </c>
      <c r="I44" t="s">
        <v>614</v>
      </c>
      <c r="J44" s="11">
        <v>30</v>
      </c>
      <c r="K44" s="9">
        <v>12</v>
      </c>
      <c r="L44" s="9" t="s">
        <v>324</v>
      </c>
      <c r="M44" s="9" t="s">
        <v>505</v>
      </c>
      <c r="N44" s="10" t="s">
        <v>73</v>
      </c>
      <c r="O44" t="s">
        <v>600</v>
      </c>
    </row>
    <row r="45" spans="1:15" ht="60" x14ac:dyDescent="0.25">
      <c r="A45" t="s">
        <v>152</v>
      </c>
      <c r="B45" s="9">
        <v>2017</v>
      </c>
      <c r="C45" t="s">
        <v>40</v>
      </c>
      <c r="D45" s="9">
        <v>1</v>
      </c>
      <c r="E45" s="26" t="s">
        <v>404</v>
      </c>
      <c r="F45" s="26" t="s">
        <v>352</v>
      </c>
      <c r="G45" t="s">
        <v>12</v>
      </c>
      <c r="H45" s="10" t="s">
        <v>523</v>
      </c>
      <c r="I45" t="s">
        <v>648</v>
      </c>
      <c r="J45" s="11">
        <v>31</v>
      </c>
      <c r="K45" s="9">
        <v>3</v>
      </c>
      <c r="L45" s="9" t="s">
        <v>324</v>
      </c>
      <c r="M45" s="9" t="s">
        <v>505</v>
      </c>
      <c r="N45" s="10" t="s">
        <v>153</v>
      </c>
      <c r="O45" t="s">
        <v>154</v>
      </c>
    </row>
    <row r="46" spans="1:15" x14ac:dyDescent="0.25">
      <c r="A46" t="s">
        <v>233</v>
      </c>
      <c r="B46" s="9">
        <v>2022</v>
      </c>
      <c r="C46" t="s">
        <v>40</v>
      </c>
      <c r="D46" s="9">
        <v>1</v>
      </c>
      <c r="E46" s="24" t="s">
        <v>116</v>
      </c>
      <c r="F46" s="26" t="s">
        <v>412</v>
      </c>
      <c r="G46" t="s">
        <v>12</v>
      </c>
      <c r="H46" s="12" t="s">
        <v>450</v>
      </c>
      <c r="I46" t="s">
        <v>671</v>
      </c>
      <c r="J46" s="11">
        <v>32</v>
      </c>
      <c r="K46" s="9">
        <v>1</v>
      </c>
      <c r="L46" s="9" t="s">
        <v>324</v>
      </c>
      <c r="M46" s="9" t="s">
        <v>505</v>
      </c>
      <c r="O46" t="s">
        <v>235</v>
      </c>
    </row>
    <row r="47" spans="1:15" x14ac:dyDescent="0.25">
      <c r="A47" t="s">
        <v>233</v>
      </c>
      <c r="B47" s="9">
        <v>2022</v>
      </c>
      <c r="C47" t="s">
        <v>115</v>
      </c>
      <c r="D47" s="9">
        <v>4</v>
      </c>
      <c r="E47" s="24" t="s">
        <v>116</v>
      </c>
      <c r="F47" s="26" t="s">
        <v>412</v>
      </c>
      <c r="G47" t="s">
        <v>12</v>
      </c>
      <c r="H47" s="12" t="s">
        <v>450</v>
      </c>
      <c r="I47" t="s">
        <v>671</v>
      </c>
      <c r="J47" s="11">
        <v>32</v>
      </c>
      <c r="K47" s="9">
        <v>1</v>
      </c>
      <c r="L47" s="9" t="s">
        <v>324</v>
      </c>
      <c r="M47" s="9" t="s">
        <v>505</v>
      </c>
      <c r="O47" t="s">
        <v>235</v>
      </c>
    </row>
    <row r="48" spans="1:15" x14ac:dyDescent="0.25">
      <c r="A48" t="s">
        <v>233</v>
      </c>
      <c r="B48" s="9">
        <v>2022</v>
      </c>
      <c r="C48" t="s">
        <v>40</v>
      </c>
      <c r="D48" s="9">
        <v>1</v>
      </c>
      <c r="E48" s="24" t="s">
        <v>116</v>
      </c>
      <c r="F48" s="26" t="s">
        <v>412</v>
      </c>
      <c r="G48" t="s">
        <v>12</v>
      </c>
      <c r="H48" s="12" t="s">
        <v>449</v>
      </c>
      <c r="I48" t="s">
        <v>670</v>
      </c>
      <c r="J48" s="11">
        <v>33</v>
      </c>
      <c r="K48" s="9">
        <v>1</v>
      </c>
      <c r="L48" s="9" t="s">
        <v>324</v>
      </c>
      <c r="M48" s="9" t="s">
        <v>505</v>
      </c>
      <c r="O48" t="s">
        <v>235</v>
      </c>
    </row>
    <row r="49" spans="1:15" x14ac:dyDescent="0.25">
      <c r="A49" t="s">
        <v>233</v>
      </c>
      <c r="B49" s="9">
        <v>2022</v>
      </c>
      <c r="C49" t="s">
        <v>115</v>
      </c>
      <c r="D49" s="9">
        <v>4</v>
      </c>
      <c r="E49" s="24" t="s">
        <v>116</v>
      </c>
      <c r="F49" s="26" t="s">
        <v>412</v>
      </c>
      <c r="G49" t="s">
        <v>12</v>
      </c>
      <c r="H49" s="12" t="s">
        <v>449</v>
      </c>
      <c r="I49" t="s">
        <v>670</v>
      </c>
      <c r="J49" s="11">
        <v>33</v>
      </c>
      <c r="K49" s="9">
        <v>1</v>
      </c>
      <c r="L49" s="9" t="s">
        <v>324</v>
      </c>
      <c r="M49" s="9" t="s">
        <v>505</v>
      </c>
      <c r="O49" t="s">
        <v>235</v>
      </c>
    </row>
    <row r="50" spans="1:15" x14ac:dyDescent="0.25">
      <c r="A50" t="s">
        <v>256</v>
      </c>
      <c r="B50" s="9">
        <v>2022</v>
      </c>
      <c r="C50" t="s">
        <v>257</v>
      </c>
      <c r="D50" s="9">
        <v>11</v>
      </c>
      <c r="E50" s="26" t="s">
        <v>376</v>
      </c>
      <c r="F50" s="26" t="s">
        <v>355</v>
      </c>
      <c r="G50" t="s">
        <v>12</v>
      </c>
      <c r="H50" s="10" t="s">
        <v>524</v>
      </c>
      <c r="I50" t="s">
        <v>643</v>
      </c>
      <c r="J50" s="11">
        <v>34</v>
      </c>
      <c r="K50" s="9">
        <v>6</v>
      </c>
      <c r="L50" s="9" t="s">
        <v>324</v>
      </c>
      <c r="M50" s="9" t="s">
        <v>505</v>
      </c>
      <c r="N50" s="10" t="s">
        <v>258</v>
      </c>
      <c r="O50" t="s">
        <v>235</v>
      </c>
    </row>
    <row r="51" spans="1:15" x14ac:dyDescent="0.25">
      <c r="A51" t="s">
        <v>10</v>
      </c>
      <c r="B51" s="9">
        <v>2023</v>
      </c>
      <c r="C51" t="s">
        <v>11</v>
      </c>
      <c r="D51" s="9">
        <v>6</v>
      </c>
      <c r="E51" s="26" t="s">
        <v>398</v>
      </c>
      <c r="F51" s="26" t="s">
        <v>399</v>
      </c>
      <c r="G51" t="s">
        <v>12</v>
      </c>
      <c r="H51" s="10" t="s">
        <v>525</v>
      </c>
      <c r="I51" t="s">
        <v>644</v>
      </c>
      <c r="J51" s="11">
        <v>35</v>
      </c>
      <c r="K51" s="9">
        <v>10</v>
      </c>
      <c r="L51" s="13" t="s">
        <v>322</v>
      </c>
      <c r="M51" s="13" t="s">
        <v>504</v>
      </c>
      <c r="O51" t="s">
        <v>13</v>
      </c>
    </row>
    <row r="52" spans="1:15" ht="45" x14ac:dyDescent="0.25">
      <c r="A52" t="s">
        <v>105</v>
      </c>
      <c r="B52" s="9">
        <v>2019</v>
      </c>
      <c r="C52" t="s">
        <v>332</v>
      </c>
      <c r="D52" s="9">
        <v>5</v>
      </c>
      <c r="E52" s="26" t="s">
        <v>333</v>
      </c>
      <c r="F52" s="26" t="s">
        <v>334</v>
      </c>
      <c r="G52" t="s">
        <v>12</v>
      </c>
      <c r="H52" s="10" t="s">
        <v>335</v>
      </c>
      <c r="I52" t="s">
        <v>610</v>
      </c>
      <c r="J52" s="11">
        <v>36</v>
      </c>
      <c r="K52" s="9">
        <v>1</v>
      </c>
      <c r="L52" s="9" t="s">
        <v>324</v>
      </c>
      <c r="M52" s="9" t="s">
        <v>505</v>
      </c>
      <c r="N52" s="10" t="s">
        <v>106</v>
      </c>
      <c r="O52" t="s">
        <v>559</v>
      </c>
    </row>
    <row r="53" spans="1:15" x14ac:dyDescent="0.25">
      <c r="A53" t="s">
        <v>193</v>
      </c>
      <c r="B53" s="9">
        <v>2010</v>
      </c>
      <c r="C53" t="s">
        <v>139</v>
      </c>
      <c r="D53" s="9">
        <v>10</v>
      </c>
      <c r="E53" s="26" t="s">
        <v>375</v>
      </c>
      <c r="F53" s="26" t="s">
        <v>375</v>
      </c>
      <c r="G53" t="s">
        <v>35</v>
      </c>
      <c r="H53" s="12" t="s">
        <v>119</v>
      </c>
      <c r="I53" t="s">
        <v>628</v>
      </c>
      <c r="J53" s="11">
        <v>37</v>
      </c>
      <c r="K53" s="9">
        <v>1</v>
      </c>
      <c r="L53" s="9" t="s">
        <v>324</v>
      </c>
      <c r="M53" s="9" t="s">
        <v>505</v>
      </c>
      <c r="O53" t="s">
        <v>555</v>
      </c>
    </row>
    <row r="54" spans="1:15" ht="45" x14ac:dyDescent="0.25">
      <c r="A54" t="s">
        <v>117</v>
      </c>
      <c r="B54" s="9">
        <v>2008</v>
      </c>
      <c r="C54" t="s">
        <v>59</v>
      </c>
      <c r="D54" s="9">
        <v>2</v>
      </c>
      <c r="E54" s="26" t="s">
        <v>371</v>
      </c>
      <c r="F54" s="26" t="s">
        <v>371</v>
      </c>
      <c r="G54" t="s">
        <v>35</v>
      </c>
      <c r="H54" s="12" t="s">
        <v>119</v>
      </c>
      <c r="I54" t="s">
        <v>628</v>
      </c>
      <c r="J54" s="11">
        <v>37</v>
      </c>
      <c r="K54" s="9">
        <v>4</v>
      </c>
      <c r="L54" s="9" t="s">
        <v>324</v>
      </c>
      <c r="M54" s="9" t="s">
        <v>505</v>
      </c>
      <c r="N54" s="10" t="s">
        <v>118</v>
      </c>
      <c r="O54" t="s">
        <v>587</v>
      </c>
    </row>
    <row r="55" spans="1:15" x14ac:dyDescent="0.25">
      <c r="A55" t="s">
        <v>200</v>
      </c>
      <c r="B55" s="9">
        <v>2012</v>
      </c>
      <c r="C55" t="s">
        <v>201</v>
      </c>
      <c r="D55" s="9">
        <v>8</v>
      </c>
      <c r="E55" s="26" t="s">
        <v>352</v>
      </c>
      <c r="F55" s="26" t="s">
        <v>352</v>
      </c>
      <c r="G55" t="s">
        <v>35</v>
      </c>
      <c r="H55" s="12" t="s">
        <v>119</v>
      </c>
      <c r="I55" t="s">
        <v>628</v>
      </c>
      <c r="J55" s="11">
        <v>37</v>
      </c>
      <c r="K55" s="9">
        <v>3</v>
      </c>
      <c r="L55" s="9" t="s">
        <v>324</v>
      </c>
      <c r="M55" s="9" t="s">
        <v>505</v>
      </c>
      <c r="O55" t="s">
        <v>202</v>
      </c>
    </row>
    <row r="56" spans="1:15" x14ac:dyDescent="0.25">
      <c r="A56" t="s">
        <v>33</v>
      </c>
      <c r="B56" s="9">
        <v>2023</v>
      </c>
      <c r="C56" t="s">
        <v>327</v>
      </c>
      <c r="D56" s="9">
        <v>7</v>
      </c>
      <c r="E56" s="24" t="s">
        <v>34</v>
      </c>
      <c r="F56" s="26" t="s">
        <v>116</v>
      </c>
      <c r="G56" t="s">
        <v>35</v>
      </c>
      <c r="H56" s="12" t="s">
        <v>36</v>
      </c>
      <c r="I56" t="s">
        <v>606</v>
      </c>
      <c r="J56" s="11">
        <v>38</v>
      </c>
      <c r="K56" s="9">
        <v>4</v>
      </c>
      <c r="L56" s="9" t="s">
        <v>324</v>
      </c>
      <c r="M56" s="9" t="s">
        <v>505</v>
      </c>
      <c r="O56" t="s">
        <v>161</v>
      </c>
    </row>
    <row r="57" spans="1:15" x14ac:dyDescent="0.25">
      <c r="A57" t="s">
        <v>205</v>
      </c>
      <c r="B57" s="9">
        <v>2013</v>
      </c>
      <c r="C57" t="s">
        <v>59</v>
      </c>
      <c r="D57" s="9">
        <v>2</v>
      </c>
      <c r="E57" s="26">
        <v>50</v>
      </c>
      <c r="F57" s="26">
        <v>50</v>
      </c>
      <c r="G57" t="s">
        <v>35</v>
      </c>
      <c r="H57" s="12" t="s">
        <v>36</v>
      </c>
      <c r="I57" t="s">
        <v>606</v>
      </c>
      <c r="J57" s="11">
        <v>38</v>
      </c>
      <c r="K57" s="9">
        <v>1</v>
      </c>
      <c r="L57" s="9" t="s">
        <v>324</v>
      </c>
      <c r="M57" s="9" t="s">
        <v>505</v>
      </c>
      <c r="N57" s="10" t="s">
        <v>206</v>
      </c>
      <c r="O57" t="s">
        <v>557</v>
      </c>
    </row>
    <row r="58" spans="1:15" ht="18" customHeight="1" x14ac:dyDescent="0.25">
      <c r="A58" t="s">
        <v>81</v>
      </c>
      <c r="B58" s="9">
        <v>2024</v>
      </c>
      <c r="C58" t="s">
        <v>59</v>
      </c>
      <c r="D58" s="9">
        <v>2</v>
      </c>
      <c r="E58" s="26" t="s">
        <v>348</v>
      </c>
      <c r="F58" s="26" t="s">
        <v>348</v>
      </c>
      <c r="G58" t="s">
        <v>35</v>
      </c>
      <c r="H58" s="12" t="s">
        <v>36</v>
      </c>
      <c r="I58" t="s">
        <v>606</v>
      </c>
      <c r="J58" s="11">
        <v>38</v>
      </c>
      <c r="K58" s="9">
        <v>72</v>
      </c>
      <c r="L58" s="9" t="s">
        <v>324</v>
      </c>
      <c r="M58" s="9" t="s">
        <v>505</v>
      </c>
      <c r="N58" s="10" t="s">
        <v>82</v>
      </c>
      <c r="O58" t="s">
        <v>83</v>
      </c>
    </row>
    <row r="59" spans="1:15" ht="75" x14ac:dyDescent="0.25">
      <c r="A59" t="s">
        <v>55</v>
      </c>
      <c r="B59" s="9">
        <v>2024</v>
      </c>
      <c r="C59" t="s">
        <v>11</v>
      </c>
      <c r="D59" s="9">
        <v>6</v>
      </c>
      <c r="E59" s="26" t="s">
        <v>381</v>
      </c>
      <c r="F59" s="26" t="s">
        <v>382</v>
      </c>
      <c r="G59" t="s">
        <v>35</v>
      </c>
      <c r="H59" s="12" t="s">
        <v>36</v>
      </c>
      <c r="I59" t="s">
        <v>606</v>
      </c>
      <c r="J59" s="11">
        <v>38</v>
      </c>
      <c r="K59" s="9">
        <v>90</v>
      </c>
      <c r="L59" s="9" t="s">
        <v>324</v>
      </c>
      <c r="M59" s="9" t="s">
        <v>505</v>
      </c>
      <c r="N59" s="10" t="s">
        <v>266</v>
      </c>
      <c r="O59" t="s">
        <v>574</v>
      </c>
    </row>
    <row r="60" spans="1:15" x14ac:dyDescent="0.25">
      <c r="A60" t="s">
        <v>274</v>
      </c>
      <c r="B60" s="9">
        <v>2004</v>
      </c>
      <c r="C60" t="s">
        <v>59</v>
      </c>
      <c r="D60" s="9">
        <v>2</v>
      </c>
      <c r="E60" s="26" t="s">
        <v>387</v>
      </c>
      <c r="F60" s="26" t="s">
        <v>387</v>
      </c>
      <c r="G60" t="s">
        <v>35</v>
      </c>
      <c r="H60" s="12" t="s">
        <v>36</v>
      </c>
      <c r="I60" t="s">
        <v>606</v>
      </c>
      <c r="J60" s="11">
        <v>38</v>
      </c>
      <c r="K60" s="9">
        <v>3</v>
      </c>
      <c r="L60" s="9" t="s">
        <v>324</v>
      </c>
      <c r="M60" s="9" t="s">
        <v>505</v>
      </c>
      <c r="O60" t="s">
        <v>267</v>
      </c>
    </row>
    <row r="61" spans="1:15" x14ac:dyDescent="0.25">
      <c r="A61" t="s">
        <v>245</v>
      </c>
      <c r="B61" s="9">
        <v>2014</v>
      </c>
      <c r="C61" t="s">
        <v>403</v>
      </c>
      <c r="D61" s="9">
        <v>9</v>
      </c>
      <c r="E61" s="26" t="s">
        <v>359</v>
      </c>
      <c r="F61" s="26" t="s">
        <v>404</v>
      </c>
      <c r="G61" t="s">
        <v>35</v>
      </c>
      <c r="H61" s="12" t="s">
        <v>36</v>
      </c>
      <c r="I61" t="s">
        <v>606</v>
      </c>
      <c r="J61" s="11">
        <v>38</v>
      </c>
      <c r="K61" s="9">
        <v>1</v>
      </c>
      <c r="L61" s="9" t="s">
        <v>324</v>
      </c>
      <c r="M61" s="9" t="s">
        <v>505</v>
      </c>
      <c r="O61" t="s">
        <v>557</v>
      </c>
    </row>
    <row r="62" spans="1:15" ht="30" x14ac:dyDescent="0.25">
      <c r="A62" t="s">
        <v>246</v>
      </c>
      <c r="B62" s="9">
        <v>2007</v>
      </c>
      <c r="C62" t="s">
        <v>115</v>
      </c>
      <c r="D62" s="9">
        <v>4</v>
      </c>
      <c r="E62" s="26" t="s">
        <v>336</v>
      </c>
      <c r="F62" s="26" t="s">
        <v>412</v>
      </c>
      <c r="G62" t="s">
        <v>35</v>
      </c>
      <c r="H62" s="12" t="s">
        <v>36</v>
      </c>
      <c r="I62" t="s">
        <v>606</v>
      </c>
      <c r="J62" s="11">
        <v>38</v>
      </c>
      <c r="K62" s="9">
        <v>2</v>
      </c>
      <c r="L62" s="9" t="s">
        <v>322</v>
      </c>
      <c r="M62" s="9" t="s">
        <v>504</v>
      </c>
      <c r="N62" s="10" t="s">
        <v>264</v>
      </c>
      <c r="O62" t="s">
        <v>247</v>
      </c>
    </row>
    <row r="63" spans="1:15" x14ac:dyDescent="0.25">
      <c r="A63" t="s">
        <v>197</v>
      </c>
      <c r="B63" s="9">
        <v>2011</v>
      </c>
      <c r="C63" t="s">
        <v>59</v>
      </c>
      <c r="D63" s="9">
        <v>2</v>
      </c>
      <c r="E63" s="26" t="s">
        <v>352</v>
      </c>
      <c r="F63" s="26" t="s">
        <v>352</v>
      </c>
      <c r="G63" t="s">
        <v>35</v>
      </c>
      <c r="H63" s="12" t="s">
        <v>36</v>
      </c>
      <c r="I63" t="s">
        <v>606</v>
      </c>
      <c r="J63" s="11">
        <v>38</v>
      </c>
      <c r="K63" s="9">
        <v>200</v>
      </c>
      <c r="L63" s="9" t="s">
        <v>324</v>
      </c>
      <c r="M63" s="9" t="s">
        <v>505</v>
      </c>
      <c r="O63" t="s">
        <v>62</v>
      </c>
    </row>
    <row r="64" spans="1:15" ht="30" x14ac:dyDescent="0.25">
      <c r="A64" t="s">
        <v>203</v>
      </c>
      <c r="B64" s="9">
        <v>2012</v>
      </c>
      <c r="C64" t="s">
        <v>40</v>
      </c>
      <c r="D64" s="9">
        <v>1</v>
      </c>
      <c r="E64" s="26" t="s">
        <v>442</v>
      </c>
      <c r="F64" s="26" t="s">
        <v>442</v>
      </c>
      <c r="G64" t="s">
        <v>35</v>
      </c>
      <c r="H64" s="12" t="s">
        <v>36</v>
      </c>
      <c r="I64" t="s">
        <v>606</v>
      </c>
      <c r="J64" s="11">
        <v>38</v>
      </c>
      <c r="K64" s="11" t="s">
        <v>443</v>
      </c>
      <c r="L64" s="9" t="s">
        <v>324</v>
      </c>
      <c r="M64" s="9" t="s">
        <v>505</v>
      </c>
      <c r="N64" s="10" t="s">
        <v>444</v>
      </c>
      <c r="O64" t="s">
        <v>598</v>
      </c>
    </row>
    <row r="65" spans="1:15" ht="30" x14ac:dyDescent="0.25">
      <c r="A65" t="s">
        <v>203</v>
      </c>
      <c r="B65" s="9">
        <v>2012</v>
      </c>
      <c r="C65" t="s">
        <v>40</v>
      </c>
      <c r="D65" s="9">
        <v>1</v>
      </c>
      <c r="E65" s="26" t="s">
        <v>359</v>
      </c>
      <c r="F65" s="26" t="s">
        <v>359</v>
      </c>
      <c r="G65" t="s">
        <v>35</v>
      </c>
      <c r="H65" s="12" t="s">
        <v>36</v>
      </c>
      <c r="I65" t="s">
        <v>606</v>
      </c>
      <c r="J65" s="11">
        <v>38</v>
      </c>
      <c r="K65" s="11" t="s">
        <v>443</v>
      </c>
      <c r="L65" s="9" t="s">
        <v>324</v>
      </c>
      <c r="M65" s="9" t="s">
        <v>505</v>
      </c>
      <c r="N65" s="10" t="s">
        <v>444</v>
      </c>
      <c r="O65" t="s">
        <v>598</v>
      </c>
    </row>
    <row r="66" spans="1:15" ht="30" x14ac:dyDescent="0.25">
      <c r="A66" t="s">
        <v>203</v>
      </c>
      <c r="B66" s="9">
        <v>2012</v>
      </c>
      <c r="C66" t="s">
        <v>40</v>
      </c>
      <c r="D66" s="9">
        <v>1</v>
      </c>
      <c r="E66" s="26" t="s">
        <v>445</v>
      </c>
      <c r="F66" s="26" t="s">
        <v>394</v>
      </c>
      <c r="G66" t="s">
        <v>35</v>
      </c>
      <c r="H66" s="12" t="s">
        <v>36</v>
      </c>
      <c r="I66" t="s">
        <v>606</v>
      </c>
      <c r="J66" s="11">
        <v>38</v>
      </c>
      <c r="K66" s="11" t="s">
        <v>443</v>
      </c>
      <c r="L66" s="9" t="s">
        <v>324</v>
      </c>
      <c r="M66" s="9" t="s">
        <v>505</v>
      </c>
      <c r="N66" s="10" t="s">
        <v>444</v>
      </c>
      <c r="O66" t="s">
        <v>598</v>
      </c>
    </row>
    <row r="67" spans="1:15" ht="45" x14ac:dyDescent="0.25">
      <c r="A67" t="s">
        <v>224</v>
      </c>
      <c r="B67" s="9">
        <v>2020</v>
      </c>
      <c r="C67" t="s">
        <v>40</v>
      </c>
      <c r="D67" s="9">
        <v>1</v>
      </c>
      <c r="E67" s="27" t="s">
        <v>225</v>
      </c>
      <c r="F67" s="28" t="s">
        <v>457</v>
      </c>
      <c r="G67" t="s">
        <v>35</v>
      </c>
      <c r="H67" s="12" t="s">
        <v>36</v>
      </c>
      <c r="I67" t="s">
        <v>606</v>
      </c>
      <c r="J67" s="11">
        <v>38</v>
      </c>
      <c r="K67" s="9">
        <v>1</v>
      </c>
      <c r="L67" s="9" t="s">
        <v>324</v>
      </c>
      <c r="M67" s="9" t="s">
        <v>505</v>
      </c>
      <c r="N67" s="10" t="s">
        <v>446</v>
      </c>
      <c r="O67" t="s">
        <v>599</v>
      </c>
    </row>
    <row r="68" spans="1:15" ht="14.25" customHeight="1" x14ac:dyDescent="0.25">
      <c r="A68" t="s">
        <v>194</v>
      </c>
      <c r="B68" s="9">
        <v>2011</v>
      </c>
      <c r="C68" t="s">
        <v>115</v>
      </c>
      <c r="D68" s="9">
        <v>4</v>
      </c>
      <c r="E68" s="26" t="s">
        <v>336</v>
      </c>
      <c r="F68" s="26" t="s">
        <v>336</v>
      </c>
      <c r="G68" t="s">
        <v>35</v>
      </c>
      <c r="H68" s="12" t="s">
        <v>36</v>
      </c>
      <c r="I68" t="s">
        <v>606</v>
      </c>
      <c r="J68" s="11">
        <v>38</v>
      </c>
      <c r="K68" s="9">
        <v>6</v>
      </c>
      <c r="L68" s="9" t="s">
        <v>324</v>
      </c>
      <c r="M68" s="9" t="s">
        <v>505</v>
      </c>
      <c r="N68" s="10" t="s">
        <v>195</v>
      </c>
      <c r="O68" t="s">
        <v>601</v>
      </c>
    </row>
    <row r="69" spans="1:15" ht="75" x14ac:dyDescent="0.25">
      <c r="A69" t="s">
        <v>68</v>
      </c>
      <c r="B69" s="9">
        <v>2023</v>
      </c>
      <c r="C69" t="s">
        <v>6</v>
      </c>
      <c r="D69" s="9">
        <v>3</v>
      </c>
      <c r="E69" s="26">
        <v>2</v>
      </c>
      <c r="F69" s="26" t="s">
        <v>320</v>
      </c>
      <c r="G69" t="s">
        <v>321</v>
      </c>
      <c r="H69" s="12" t="s">
        <v>526</v>
      </c>
      <c r="I69" s="20" t="s">
        <v>603</v>
      </c>
      <c r="J69" s="11">
        <v>39</v>
      </c>
      <c r="K69" s="9">
        <v>21</v>
      </c>
      <c r="L69" s="9" t="s">
        <v>322</v>
      </c>
      <c r="M69" s="9" t="s">
        <v>504</v>
      </c>
      <c r="N69" s="10" t="s">
        <v>323</v>
      </c>
      <c r="O69" t="s">
        <v>555</v>
      </c>
    </row>
    <row r="70" spans="1:15" x14ac:dyDescent="0.25">
      <c r="A70" t="s">
        <v>58</v>
      </c>
      <c r="B70" s="9">
        <v>2023</v>
      </c>
      <c r="C70" t="s">
        <v>59</v>
      </c>
      <c r="D70" s="9">
        <v>2</v>
      </c>
      <c r="E70" s="26" t="s">
        <v>336</v>
      </c>
      <c r="F70" s="26" t="s">
        <v>336</v>
      </c>
      <c r="G70" t="s">
        <v>321</v>
      </c>
      <c r="H70" s="12" t="s">
        <v>61</v>
      </c>
      <c r="I70" t="s">
        <v>611</v>
      </c>
      <c r="J70" s="11">
        <v>40</v>
      </c>
      <c r="K70" s="9">
        <v>40</v>
      </c>
      <c r="L70" s="9" t="s">
        <v>322</v>
      </c>
      <c r="M70" s="9" t="s">
        <v>504</v>
      </c>
      <c r="O70" t="s">
        <v>62</v>
      </c>
    </row>
    <row r="71" spans="1:15" x14ac:dyDescent="0.25">
      <c r="A71" t="s">
        <v>163</v>
      </c>
      <c r="B71" s="9">
        <v>2018</v>
      </c>
      <c r="C71" t="s">
        <v>59</v>
      </c>
      <c r="D71" s="9">
        <v>2</v>
      </c>
      <c r="E71" s="26" t="s">
        <v>336</v>
      </c>
      <c r="F71" s="26" t="s">
        <v>336</v>
      </c>
      <c r="G71" t="s">
        <v>321</v>
      </c>
      <c r="H71" s="12" t="s">
        <v>61</v>
      </c>
      <c r="I71" t="s">
        <v>611</v>
      </c>
      <c r="J71" s="11">
        <v>40</v>
      </c>
      <c r="K71" s="9">
        <v>2</v>
      </c>
      <c r="L71" s="9" t="s">
        <v>324</v>
      </c>
      <c r="M71" s="9" t="s">
        <v>505</v>
      </c>
      <c r="N71" s="10" t="s">
        <v>218</v>
      </c>
      <c r="O71" t="s">
        <v>62</v>
      </c>
    </row>
    <row r="72" spans="1:15" ht="30" x14ac:dyDescent="0.25">
      <c r="A72" t="s">
        <v>190</v>
      </c>
      <c r="B72" s="9">
        <v>2009</v>
      </c>
      <c r="C72" t="s">
        <v>59</v>
      </c>
      <c r="D72" s="9">
        <v>2</v>
      </c>
      <c r="E72" s="26" t="s">
        <v>352</v>
      </c>
      <c r="F72" s="26" t="s">
        <v>352</v>
      </c>
      <c r="G72" t="s">
        <v>35</v>
      </c>
      <c r="H72" s="12" t="s">
        <v>192</v>
      </c>
      <c r="I72" t="s">
        <v>655</v>
      </c>
      <c r="J72" s="11">
        <v>41</v>
      </c>
      <c r="K72" s="9">
        <v>42</v>
      </c>
      <c r="L72" s="9" t="s">
        <v>324</v>
      </c>
      <c r="M72" s="9" t="s">
        <v>505</v>
      </c>
      <c r="N72" s="10" t="s">
        <v>423</v>
      </c>
      <c r="O72" t="s">
        <v>62</v>
      </c>
    </row>
    <row r="73" spans="1:15" x14ac:dyDescent="0.25">
      <c r="A73" t="s">
        <v>220</v>
      </c>
      <c r="B73" s="9">
        <v>2019</v>
      </c>
      <c r="C73" t="s">
        <v>115</v>
      </c>
      <c r="D73" s="9">
        <v>4</v>
      </c>
      <c r="E73" s="26" t="s">
        <v>116</v>
      </c>
      <c r="F73" s="26" t="s">
        <v>383</v>
      </c>
      <c r="G73" t="s">
        <v>384</v>
      </c>
      <c r="H73" s="10" t="s">
        <v>385</v>
      </c>
      <c r="I73" t="s">
        <v>633</v>
      </c>
      <c r="J73" s="11">
        <v>42</v>
      </c>
      <c r="K73" s="9">
        <v>6</v>
      </c>
      <c r="L73" s="9" t="s">
        <v>324</v>
      </c>
      <c r="M73" s="9" t="s">
        <v>505</v>
      </c>
      <c r="N73" s="10" t="s">
        <v>386</v>
      </c>
      <c r="O73" t="s">
        <v>576</v>
      </c>
    </row>
    <row r="74" spans="1:15" x14ac:dyDescent="0.25">
      <c r="A74" t="s">
        <v>220</v>
      </c>
      <c r="B74" s="9">
        <v>2019</v>
      </c>
      <c r="C74" t="s">
        <v>115</v>
      </c>
      <c r="D74" s="9">
        <v>4</v>
      </c>
      <c r="E74" s="26" t="s">
        <v>116</v>
      </c>
      <c r="F74" s="26" t="s">
        <v>383</v>
      </c>
      <c r="G74" t="s">
        <v>212</v>
      </c>
      <c r="H74" s="10" t="s">
        <v>528</v>
      </c>
      <c r="I74" t="s">
        <v>634</v>
      </c>
      <c r="J74" s="11">
        <v>43</v>
      </c>
      <c r="K74" s="9">
        <v>5</v>
      </c>
      <c r="L74" s="9" t="s">
        <v>324</v>
      </c>
      <c r="M74" s="9" t="s">
        <v>505</v>
      </c>
      <c r="O74" t="s">
        <v>577</v>
      </c>
    </row>
    <row r="75" spans="1:15" ht="30" x14ac:dyDescent="0.25">
      <c r="A75" t="s">
        <v>210</v>
      </c>
      <c r="B75" s="9">
        <v>2016</v>
      </c>
      <c r="C75" t="s">
        <v>6</v>
      </c>
      <c r="D75" s="9">
        <v>3</v>
      </c>
      <c r="E75" s="26" t="s">
        <v>351</v>
      </c>
      <c r="F75" s="26" t="s">
        <v>352</v>
      </c>
      <c r="G75" t="s">
        <v>212</v>
      </c>
      <c r="H75" s="12" t="s">
        <v>527</v>
      </c>
      <c r="I75" t="s">
        <v>616</v>
      </c>
      <c r="J75" s="11">
        <v>44</v>
      </c>
      <c r="K75" s="9">
        <v>9</v>
      </c>
      <c r="L75" s="9" t="s">
        <v>324</v>
      </c>
      <c r="M75" s="9" t="s">
        <v>505</v>
      </c>
      <c r="N75" s="10" t="s">
        <v>211</v>
      </c>
      <c r="O75" t="s">
        <v>127</v>
      </c>
    </row>
    <row r="76" spans="1:15" x14ac:dyDescent="0.25">
      <c r="A76" t="s">
        <v>136</v>
      </c>
      <c r="B76" s="9">
        <v>2015</v>
      </c>
      <c r="C76" t="s">
        <v>437</v>
      </c>
      <c r="D76" s="9">
        <v>13</v>
      </c>
      <c r="E76" s="26" t="s">
        <v>359</v>
      </c>
      <c r="F76" s="26" t="s">
        <v>377</v>
      </c>
      <c r="G76" t="s">
        <v>391</v>
      </c>
      <c r="H76" s="12" t="s">
        <v>529</v>
      </c>
      <c r="I76" t="s">
        <v>666</v>
      </c>
      <c r="J76" s="11">
        <v>45</v>
      </c>
      <c r="K76" s="9">
        <v>1</v>
      </c>
      <c r="L76" s="9" t="s">
        <v>324</v>
      </c>
      <c r="M76" s="9" t="s">
        <v>505</v>
      </c>
      <c r="O76" t="s">
        <v>595</v>
      </c>
    </row>
    <row r="77" spans="1:15" x14ac:dyDescent="0.25">
      <c r="A77" t="s">
        <v>136</v>
      </c>
      <c r="B77" s="9">
        <v>2015</v>
      </c>
      <c r="C77" t="s">
        <v>437</v>
      </c>
      <c r="D77" s="9">
        <v>13</v>
      </c>
      <c r="E77" s="26" t="s">
        <v>359</v>
      </c>
      <c r="F77" s="26" t="s">
        <v>377</v>
      </c>
      <c r="G77" t="s">
        <v>391</v>
      </c>
      <c r="H77" s="12" t="s">
        <v>530</v>
      </c>
      <c r="I77" t="s">
        <v>665</v>
      </c>
      <c r="J77" s="11">
        <v>46</v>
      </c>
      <c r="K77" s="9">
        <v>1</v>
      </c>
      <c r="L77" s="9" t="s">
        <v>324</v>
      </c>
      <c r="M77" s="9" t="s">
        <v>505</v>
      </c>
      <c r="O77" t="s">
        <v>595</v>
      </c>
    </row>
    <row r="78" spans="1:15" ht="90" x14ac:dyDescent="0.25">
      <c r="A78" t="s">
        <v>136</v>
      </c>
      <c r="B78" s="9">
        <v>2015</v>
      </c>
      <c r="C78" t="s">
        <v>437</v>
      </c>
      <c r="D78" s="9">
        <v>13</v>
      </c>
      <c r="E78" s="26" t="s">
        <v>359</v>
      </c>
      <c r="F78" s="26" t="s">
        <v>377</v>
      </c>
      <c r="G78" t="s">
        <v>391</v>
      </c>
      <c r="H78" s="10" t="s">
        <v>531</v>
      </c>
      <c r="I78" t="s">
        <v>663</v>
      </c>
      <c r="J78" s="11">
        <v>47</v>
      </c>
      <c r="K78" s="9">
        <v>1</v>
      </c>
      <c r="L78" s="9" t="s">
        <v>324</v>
      </c>
      <c r="M78" s="9" t="s">
        <v>505</v>
      </c>
      <c r="N78" s="10" t="s">
        <v>137</v>
      </c>
      <c r="O78" t="s">
        <v>594</v>
      </c>
    </row>
    <row r="79" spans="1:15" ht="60" x14ac:dyDescent="0.25">
      <c r="A79" t="s">
        <v>163</v>
      </c>
      <c r="B79" s="9">
        <v>2018</v>
      </c>
      <c r="C79" t="s">
        <v>388</v>
      </c>
      <c r="D79" s="9">
        <v>6</v>
      </c>
      <c r="E79" s="26" t="s">
        <v>389</v>
      </c>
      <c r="F79" s="26" t="s">
        <v>390</v>
      </c>
      <c r="G79" t="s">
        <v>391</v>
      </c>
      <c r="H79" s="10" t="s">
        <v>532</v>
      </c>
      <c r="I79" t="s">
        <v>636</v>
      </c>
      <c r="J79" s="11">
        <v>48</v>
      </c>
      <c r="K79" s="9">
        <v>1</v>
      </c>
      <c r="L79" s="9" t="s">
        <v>324</v>
      </c>
      <c r="M79" s="9" t="s">
        <v>505</v>
      </c>
      <c r="N79" s="10" t="s">
        <v>164</v>
      </c>
      <c r="O79" t="s">
        <v>165</v>
      </c>
    </row>
    <row r="80" spans="1:15" x14ac:dyDescent="0.25">
      <c r="A80" t="s">
        <v>163</v>
      </c>
      <c r="B80" s="9">
        <v>2018</v>
      </c>
      <c r="C80" t="s">
        <v>388</v>
      </c>
      <c r="D80" s="9">
        <v>6</v>
      </c>
      <c r="E80" s="26" t="s">
        <v>389</v>
      </c>
      <c r="F80" s="26" t="s">
        <v>390</v>
      </c>
      <c r="G80" t="s">
        <v>391</v>
      </c>
      <c r="H80" s="10" t="s">
        <v>533</v>
      </c>
      <c r="I80" t="s">
        <v>637</v>
      </c>
      <c r="J80" s="11">
        <v>49</v>
      </c>
      <c r="K80" s="9">
        <v>1</v>
      </c>
      <c r="L80" s="9" t="s">
        <v>324</v>
      </c>
      <c r="M80" s="9" t="s">
        <v>505</v>
      </c>
      <c r="O80" t="s">
        <v>165</v>
      </c>
    </row>
    <row r="81" spans="1:16" x14ac:dyDescent="0.25">
      <c r="A81" t="s">
        <v>163</v>
      </c>
      <c r="B81" s="9">
        <v>2018</v>
      </c>
      <c r="C81" t="s">
        <v>388</v>
      </c>
      <c r="D81" s="9">
        <v>6</v>
      </c>
      <c r="E81" s="26" t="s">
        <v>389</v>
      </c>
      <c r="F81" s="26" t="s">
        <v>390</v>
      </c>
      <c r="G81" t="s">
        <v>391</v>
      </c>
      <c r="H81" s="10" t="s">
        <v>534</v>
      </c>
      <c r="I81" t="s">
        <v>638</v>
      </c>
      <c r="J81" s="11">
        <v>50</v>
      </c>
      <c r="K81" s="9">
        <v>1</v>
      </c>
      <c r="L81" s="9" t="s">
        <v>324</v>
      </c>
      <c r="M81" s="9" t="s">
        <v>505</v>
      </c>
      <c r="O81" t="s">
        <v>165</v>
      </c>
    </row>
    <row r="82" spans="1:16" ht="135" x14ac:dyDescent="0.25">
      <c r="A82" t="s">
        <v>4</v>
      </c>
      <c r="B82" s="9">
        <v>2023</v>
      </c>
      <c r="C82" t="s">
        <v>6</v>
      </c>
      <c r="D82" s="9">
        <v>3</v>
      </c>
      <c r="E82" s="26" t="s">
        <v>359</v>
      </c>
      <c r="F82" s="26" t="s">
        <v>396</v>
      </c>
      <c r="G82" t="s">
        <v>391</v>
      </c>
      <c r="H82" s="10" t="s">
        <v>581</v>
      </c>
      <c r="I82" t="s">
        <v>640</v>
      </c>
      <c r="J82" s="11">
        <v>51</v>
      </c>
      <c r="K82" s="9">
        <v>134</v>
      </c>
      <c r="L82" s="9" t="s">
        <v>324</v>
      </c>
      <c r="M82" s="9" t="s">
        <v>505</v>
      </c>
      <c r="N82" s="10" t="s">
        <v>7</v>
      </c>
      <c r="O82" t="s">
        <v>580</v>
      </c>
    </row>
    <row r="83" spans="1:16" x14ac:dyDescent="0.25">
      <c r="A83" t="s">
        <v>4</v>
      </c>
      <c r="B83" s="9">
        <v>2023</v>
      </c>
      <c r="C83" t="s">
        <v>6</v>
      </c>
      <c r="D83" s="9">
        <v>3</v>
      </c>
      <c r="E83" s="26" t="s">
        <v>359</v>
      </c>
      <c r="F83" s="26" t="s">
        <v>396</v>
      </c>
      <c r="G83" t="s">
        <v>391</v>
      </c>
      <c r="H83" s="10" t="s">
        <v>582</v>
      </c>
      <c r="I83" t="s">
        <v>641</v>
      </c>
      <c r="J83" s="11">
        <v>52</v>
      </c>
      <c r="K83" s="9">
        <v>12</v>
      </c>
      <c r="L83" s="9" t="s">
        <v>324</v>
      </c>
      <c r="O83" t="s">
        <v>580</v>
      </c>
    </row>
    <row r="84" spans="1:16" x14ac:dyDescent="0.25">
      <c r="A84" t="s">
        <v>163</v>
      </c>
      <c r="B84" s="9">
        <v>2018</v>
      </c>
      <c r="C84" t="s">
        <v>388</v>
      </c>
      <c r="D84" s="9">
        <v>6</v>
      </c>
      <c r="E84" s="26" t="s">
        <v>389</v>
      </c>
      <c r="F84" s="26" t="s">
        <v>390</v>
      </c>
      <c r="G84" t="s">
        <v>391</v>
      </c>
      <c r="H84" s="10" t="s">
        <v>535</v>
      </c>
      <c r="I84" t="s">
        <v>692</v>
      </c>
      <c r="J84" s="11">
        <v>53</v>
      </c>
      <c r="K84" s="9">
        <v>3</v>
      </c>
      <c r="L84" s="9" t="s">
        <v>324</v>
      </c>
      <c r="M84" s="9" t="s">
        <v>505</v>
      </c>
      <c r="O84" s="4" t="s">
        <v>165</v>
      </c>
    </row>
    <row r="85" spans="1:16" x14ac:dyDescent="0.25">
      <c r="A85" t="s">
        <v>136</v>
      </c>
      <c r="B85" s="9">
        <v>2015</v>
      </c>
      <c r="C85" t="s">
        <v>437</v>
      </c>
      <c r="D85" s="9">
        <v>13</v>
      </c>
      <c r="E85" s="26" t="s">
        <v>359</v>
      </c>
      <c r="F85" s="26" t="s">
        <v>377</v>
      </c>
      <c r="G85" t="s">
        <v>391</v>
      </c>
      <c r="H85" s="12" t="s">
        <v>536</v>
      </c>
      <c r="I85" t="s">
        <v>693</v>
      </c>
      <c r="J85" s="11">
        <v>54</v>
      </c>
      <c r="K85" s="9">
        <v>1</v>
      </c>
      <c r="L85" s="9" t="s">
        <v>324</v>
      </c>
      <c r="M85" s="9" t="s">
        <v>505</v>
      </c>
      <c r="O85" t="s">
        <v>594</v>
      </c>
    </row>
    <row r="86" spans="1:16" x14ac:dyDescent="0.25">
      <c r="A86" t="s">
        <v>136</v>
      </c>
      <c r="B86" s="9">
        <v>2015</v>
      </c>
      <c r="C86" t="s">
        <v>437</v>
      </c>
      <c r="D86" s="9">
        <v>13</v>
      </c>
      <c r="E86" s="26" t="s">
        <v>359</v>
      </c>
      <c r="F86" s="26" t="s">
        <v>377</v>
      </c>
      <c r="G86" t="s">
        <v>391</v>
      </c>
      <c r="H86" s="12" t="s">
        <v>537</v>
      </c>
      <c r="I86" t="s">
        <v>664</v>
      </c>
      <c r="J86" s="11">
        <v>55</v>
      </c>
      <c r="K86" s="9">
        <v>1</v>
      </c>
      <c r="L86" s="9" t="s">
        <v>324</v>
      </c>
      <c r="M86" s="9" t="s">
        <v>505</v>
      </c>
      <c r="O86" t="s">
        <v>595</v>
      </c>
    </row>
    <row r="87" spans="1:16" x14ac:dyDescent="0.25">
      <c r="A87" t="s">
        <v>176</v>
      </c>
      <c r="B87" s="9">
        <v>2021</v>
      </c>
      <c r="C87" t="s">
        <v>6</v>
      </c>
      <c r="D87" s="9">
        <v>3</v>
      </c>
      <c r="E87" s="26" t="s">
        <v>414</v>
      </c>
      <c r="F87" s="26" t="s">
        <v>415</v>
      </c>
      <c r="G87" t="s">
        <v>87</v>
      </c>
      <c r="H87" s="10" t="s">
        <v>681</v>
      </c>
      <c r="I87" t="s">
        <v>651</v>
      </c>
      <c r="J87" s="11">
        <v>56</v>
      </c>
      <c r="K87" s="9">
        <v>10</v>
      </c>
      <c r="L87" s="9" t="s">
        <v>324</v>
      </c>
      <c r="M87" s="9" t="s">
        <v>505</v>
      </c>
      <c r="O87" t="s">
        <v>558</v>
      </c>
    </row>
    <row r="88" spans="1:16" ht="75" x14ac:dyDescent="0.25">
      <c r="A88" t="s">
        <v>179</v>
      </c>
      <c r="B88" s="9">
        <v>2022</v>
      </c>
      <c r="C88" t="s">
        <v>59</v>
      </c>
      <c r="D88" s="9">
        <v>2</v>
      </c>
      <c r="E88" s="26" t="s">
        <v>387</v>
      </c>
      <c r="F88" s="26" t="s">
        <v>387</v>
      </c>
      <c r="G88" t="s">
        <v>87</v>
      </c>
      <c r="H88" s="10" t="s">
        <v>684</v>
      </c>
      <c r="I88" t="s">
        <v>635</v>
      </c>
      <c r="J88" s="11">
        <v>57</v>
      </c>
      <c r="K88" s="9">
        <v>132</v>
      </c>
      <c r="L88" s="9" t="s">
        <v>324</v>
      </c>
      <c r="M88" s="9" t="s">
        <v>505</v>
      </c>
      <c r="N88" s="10" t="s">
        <v>180</v>
      </c>
      <c r="O88" t="s">
        <v>48</v>
      </c>
    </row>
    <row r="89" spans="1:16" x14ac:dyDescent="0.25">
      <c r="A89" t="s">
        <v>182</v>
      </c>
      <c r="B89" s="9">
        <v>2022</v>
      </c>
      <c r="C89" t="s">
        <v>59</v>
      </c>
      <c r="D89" s="9">
        <v>2</v>
      </c>
      <c r="E89" s="26" t="s">
        <v>387</v>
      </c>
      <c r="F89" s="26" t="s">
        <v>387</v>
      </c>
      <c r="G89" t="s">
        <v>87</v>
      </c>
      <c r="H89" s="10" t="s">
        <v>684</v>
      </c>
      <c r="I89" t="s">
        <v>635</v>
      </c>
      <c r="J89" s="11">
        <v>57</v>
      </c>
      <c r="K89" s="9">
        <v>56</v>
      </c>
      <c r="L89" s="9" t="s">
        <v>324</v>
      </c>
      <c r="M89" s="9" t="s">
        <v>505</v>
      </c>
      <c r="O89" t="s">
        <v>48</v>
      </c>
    </row>
    <row r="90" spans="1:16" x14ac:dyDescent="0.25">
      <c r="A90" t="s">
        <v>226</v>
      </c>
      <c r="B90" s="9">
        <v>2020</v>
      </c>
      <c r="C90" t="s">
        <v>59</v>
      </c>
      <c r="D90" s="9">
        <v>2</v>
      </c>
      <c r="E90" s="26" t="s">
        <v>387</v>
      </c>
      <c r="F90" s="26" t="s">
        <v>387</v>
      </c>
      <c r="G90" t="s">
        <v>87</v>
      </c>
      <c r="H90" s="10" t="s">
        <v>684</v>
      </c>
      <c r="I90" t="s">
        <v>635</v>
      </c>
      <c r="J90" s="11">
        <v>57</v>
      </c>
      <c r="K90" s="9">
        <v>40</v>
      </c>
      <c r="L90" s="9" t="s">
        <v>324</v>
      </c>
      <c r="M90" s="9" t="s">
        <v>505</v>
      </c>
      <c r="N90" s="10" t="s">
        <v>227</v>
      </c>
      <c r="O90" t="s">
        <v>228</v>
      </c>
    </row>
    <row r="91" spans="1:16" x14ac:dyDescent="0.25">
      <c r="A91" t="s">
        <v>236</v>
      </c>
      <c r="B91" s="9">
        <v>2022</v>
      </c>
      <c r="C91" t="s">
        <v>6</v>
      </c>
      <c r="D91" s="9">
        <v>3</v>
      </c>
      <c r="E91" s="26" t="s">
        <v>376</v>
      </c>
      <c r="F91" s="26" t="s">
        <v>377</v>
      </c>
      <c r="G91" t="s">
        <v>87</v>
      </c>
      <c r="H91" s="10" t="s">
        <v>685</v>
      </c>
      <c r="I91" t="s">
        <v>629</v>
      </c>
      <c r="J91" s="11">
        <v>58</v>
      </c>
      <c r="K91" s="9">
        <v>8</v>
      </c>
      <c r="L91" s="9" t="s">
        <v>324</v>
      </c>
      <c r="M91" s="9" t="s">
        <v>505</v>
      </c>
      <c r="N91" s="10" t="s">
        <v>238</v>
      </c>
      <c r="O91" t="s">
        <v>573</v>
      </c>
    </row>
    <row r="92" spans="1:16" x14ac:dyDescent="0.25">
      <c r="A92" t="s">
        <v>160</v>
      </c>
      <c r="B92" s="9">
        <v>2018</v>
      </c>
      <c r="C92" t="s">
        <v>447</v>
      </c>
      <c r="D92" s="9">
        <v>12</v>
      </c>
      <c r="E92" s="26" t="s">
        <v>448</v>
      </c>
      <c r="F92" s="26" t="s">
        <v>352</v>
      </c>
      <c r="G92" t="s">
        <v>87</v>
      </c>
      <c r="H92" s="10" t="s">
        <v>683</v>
      </c>
      <c r="I92" t="s">
        <v>669</v>
      </c>
      <c r="J92" s="11">
        <v>59</v>
      </c>
      <c r="K92" s="9">
        <v>1</v>
      </c>
      <c r="L92" s="9" t="s">
        <v>324</v>
      </c>
      <c r="M92" s="9" t="s">
        <v>505</v>
      </c>
      <c r="O92" t="s">
        <v>161</v>
      </c>
    </row>
    <row r="93" spans="1:16" x14ac:dyDescent="0.25">
      <c r="A93" t="s">
        <v>85</v>
      </c>
      <c r="B93" s="9">
        <v>2024</v>
      </c>
      <c r="C93" t="s">
        <v>59</v>
      </c>
      <c r="D93" s="9">
        <v>2</v>
      </c>
      <c r="E93" s="26" t="s">
        <v>345</v>
      </c>
      <c r="F93" s="26" t="s">
        <v>345</v>
      </c>
      <c r="G93" t="s">
        <v>87</v>
      </c>
      <c r="H93" s="10" t="s">
        <v>686</v>
      </c>
      <c r="I93" t="s">
        <v>672</v>
      </c>
      <c r="J93" s="11">
        <v>60</v>
      </c>
      <c r="K93" s="9">
        <v>8</v>
      </c>
      <c r="L93" s="9" t="s">
        <v>324</v>
      </c>
      <c r="M93" s="9" t="s">
        <v>505</v>
      </c>
      <c r="N93" s="10" t="s">
        <v>86</v>
      </c>
      <c r="O93" t="s">
        <v>48</v>
      </c>
    </row>
    <row r="94" spans="1:16" x14ac:dyDescent="0.25">
      <c r="A94" t="s">
        <v>85</v>
      </c>
      <c r="B94" s="9">
        <v>2024</v>
      </c>
      <c r="C94" t="s">
        <v>59</v>
      </c>
      <c r="D94" s="9">
        <v>2</v>
      </c>
      <c r="E94" s="26" t="s">
        <v>345</v>
      </c>
      <c r="F94" s="26" t="s">
        <v>345</v>
      </c>
      <c r="G94" t="s">
        <v>87</v>
      </c>
      <c r="H94" s="10" t="s">
        <v>687</v>
      </c>
      <c r="I94" t="s">
        <v>647</v>
      </c>
      <c r="J94" s="11">
        <v>61</v>
      </c>
      <c r="K94" s="9">
        <v>7</v>
      </c>
      <c r="L94" s="9" t="s">
        <v>324</v>
      </c>
      <c r="M94" s="9" t="s">
        <v>505</v>
      </c>
      <c r="O94" t="s">
        <v>48</v>
      </c>
    </row>
    <row r="95" spans="1:16" ht="30" x14ac:dyDescent="0.25">
      <c r="A95" t="s">
        <v>259</v>
      </c>
      <c r="B95" s="9">
        <v>2021</v>
      </c>
      <c r="C95" t="s">
        <v>40</v>
      </c>
      <c r="D95" s="9">
        <v>1</v>
      </c>
      <c r="E95" s="26" t="s">
        <v>402</v>
      </c>
      <c r="F95" s="26" t="s">
        <v>402</v>
      </c>
      <c r="G95" t="s">
        <v>87</v>
      </c>
      <c r="H95" s="10" t="s">
        <v>687</v>
      </c>
      <c r="I95" t="s">
        <v>647</v>
      </c>
      <c r="J95" s="11">
        <v>61</v>
      </c>
      <c r="K95" s="9">
        <v>7</v>
      </c>
      <c r="L95" s="9" t="s">
        <v>324</v>
      </c>
      <c r="M95" s="9" t="s">
        <v>505</v>
      </c>
      <c r="N95" s="10" t="s">
        <v>229</v>
      </c>
      <c r="O95" t="s">
        <v>721</v>
      </c>
      <c r="P95" s="9" t="s">
        <v>722</v>
      </c>
    </row>
    <row r="96" spans="1:16" x14ac:dyDescent="0.25">
      <c r="A96" t="s">
        <v>189</v>
      </c>
      <c r="B96" s="9">
        <v>2008</v>
      </c>
      <c r="C96" t="s">
        <v>407</v>
      </c>
      <c r="D96" s="9">
        <v>5</v>
      </c>
      <c r="E96" s="26" t="s">
        <v>408</v>
      </c>
      <c r="F96" s="26" t="s">
        <v>408</v>
      </c>
      <c r="G96" t="s">
        <v>87</v>
      </c>
      <c r="H96" s="10" t="s">
        <v>687</v>
      </c>
      <c r="I96" t="s">
        <v>647</v>
      </c>
      <c r="J96" s="11">
        <v>61</v>
      </c>
      <c r="K96" s="9">
        <v>2</v>
      </c>
      <c r="L96" s="9" t="s">
        <v>324</v>
      </c>
      <c r="M96" s="9" t="s">
        <v>505</v>
      </c>
      <c r="O96" t="s">
        <v>584</v>
      </c>
    </row>
    <row r="97" spans="1:15" x14ac:dyDescent="0.25">
      <c r="A97" t="s">
        <v>215</v>
      </c>
      <c r="B97" s="9">
        <v>2017</v>
      </c>
      <c r="C97" t="s">
        <v>378</v>
      </c>
      <c r="D97" s="9">
        <v>7</v>
      </c>
      <c r="E97" s="26" t="s">
        <v>379</v>
      </c>
      <c r="F97" s="26" t="s">
        <v>380</v>
      </c>
      <c r="G97" t="s">
        <v>87</v>
      </c>
      <c r="H97" s="10" t="s">
        <v>688</v>
      </c>
      <c r="I97" t="s">
        <v>630</v>
      </c>
      <c r="J97" s="11">
        <v>62</v>
      </c>
      <c r="K97" s="9">
        <v>1</v>
      </c>
      <c r="L97" s="9" t="s">
        <v>324</v>
      </c>
      <c r="M97" s="9" t="s">
        <v>505</v>
      </c>
      <c r="O97" t="s">
        <v>127</v>
      </c>
    </row>
    <row r="98" spans="1:15" x14ac:dyDescent="0.25">
      <c r="A98" t="s">
        <v>217</v>
      </c>
      <c r="B98" s="9">
        <v>2018</v>
      </c>
      <c r="C98" t="s">
        <v>409</v>
      </c>
      <c r="D98" s="9">
        <v>5</v>
      </c>
      <c r="E98" s="24" t="s">
        <v>116</v>
      </c>
      <c r="F98" s="26" t="s">
        <v>410</v>
      </c>
      <c r="G98" t="s">
        <v>411</v>
      </c>
      <c r="H98" s="10" t="s">
        <v>689</v>
      </c>
      <c r="I98" t="s">
        <v>649</v>
      </c>
      <c r="J98" s="11">
        <v>63</v>
      </c>
      <c r="K98" s="9">
        <v>1</v>
      </c>
      <c r="L98" s="9" t="s">
        <v>324</v>
      </c>
      <c r="M98" s="9" t="s">
        <v>505</v>
      </c>
      <c r="O98" t="s">
        <v>585</v>
      </c>
    </row>
    <row r="99" spans="1:15" x14ac:dyDescent="0.25">
      <c r="A99" t="s">
        <v>68</v>
      </c>
      <c r="B99" s="9">
        <v>2023</v>
      </c>
      <c r="C99" t="s">
        <v>6</v>
      </c>
      <c r="D99" s="9">
        <v>3</v>
      </c>
      <c r="E99" s="26">
        <v>2</v>
      </c>
      <c r="F99" s="26" t="s">
        <v>320</v>
      </c>
      <c r="G99" t="s">
        <v>172</v>
      </c>
      <c r="H99" s="10" t="s">
        <v>690</v>
      </c>
      <c r="I99" s="20" t="s">
        <v>678</v>
      </c>
      <c r="J99" s="11">
        <v>64</v>
      </c>
      <c r="K99" s="9">
        <v>4</v>
      </c>
      <c r="L99" s="9" t="s">
        <v>324</v>
      </c>
      <c r="M99" s="9" t="s">
        <v>505</v>
      </c>
      <c r="N99" s="10" t="s">
        <v>325</v>
      </c>
      <c r="O99" t="s">
        <v>679</v>
      </c>
    </row>
    <row r="100" spans="1:15" x14ac:dyDescent="0.25">
      <c r="A100" t="s">
        <v>171</v>
      </c>
      <c r="B100" s="9">
        <v>2020</v>
      </c>
      <c r="C100" t="s">
        <v>40</v>
      </c>
      <c r="D100" s="9">
        <v>1</v>
      </c>
      <c r="E100" s="26" t="s">
        <v>337</v>
      </c>
      <c r="F100" s="26" t="s">
        <v>337</v>
      </c>
      <c r="G100" t="s">
        <v>172</v>
      </c>
      <c r="H100" s="10" t="s">
        <v>682</v>
      </c>
      <c r="I100" t="s">
        <v>625</v>
      </c>
      <c r="J100" s="11">
        <v>65</v>
      </c>
      <c r="K100" s="9">
        <v>2</v>
      </c>
      <c r="L100" s="9" t="s">
        <v>324</v>
      </c>
      <c r="M100" s="9" t="s">
        <v>505</v>
      </c>
      <c r="O100" t="s">
        <v>569</v>
      </c>
    </row>
    <row r="101" spans="1:15" x14ac:dyDescent="0.25">
      <c r="A101" t="s">
        <v>253</v>
      </c>
      <c r="B101" s="9">
        <v>2017</v>
      </c>
      <c r="C101" t="s">
        <v>434</v>
      </c>
      <c r="D101" s="9">
        <v>6</v>
      </c>
      <c r="E101" s="26" t="s">
        <v>435</v>
      </c>
      <c r="F101" s="26" t="s">
        <v>436</v>
      </c>
      <c r="G101" t="s">
        <v>172</v>
      </c>
      <c r="H101" s="10" t="s">
        <v>682</v>
      </c>
      <c r="I101" t="s">
        <v>625</v>
      </c>
      <c r="J101" s="11">
        <v>65</v>
      </c>
      <c r="K101" s="9">
        <v>10</v>
      </c>
      <c r="L101" s="9" t="s">
        <v>324</v>
      </c>
      <c r="M101" s="9" t="s">
        <v>505</v>
      </c>
      <c r="O101" t="s">
        <v>255</v>
      </c>
    </row>
    <row r="102" spans="1:15" ht="90" x14ac:dyDescent="0.25">
      <c r="A102" t="s">
        <v>207</v>
      </c>
      <c r="B102" s="9">
        <v>2015</v>
      </c>
      <c r="C102" t="s">
        <v>59</v>
      </c>
      <c r="D102" s="9">
        <v>2</v>
      </c>
      <c r="E102" s="26" t="s">
        <v>352</v>
      </c>
      <c r="F102" s="26" t="s">
        <v>352</v>
      </c>
      <c r="G102" t="s">
        <v>406</v>
      </c>
      <c r="H102" s="10" t="s">
        <v>538</v>
      </c>
      <c r="I102" t="s">
        <v>673</v>
      </c>
      <c r="J102" s="11">
        <v>66</v>
      </c>
      <c r="K102" s="9">
        <v>12</v>
      </c>
      <c r="L102" s="9" t="s">
        <v>322</v>
      </c>
      <c r="M102" s="9" t="s">
        <v>504</v>
      </c>
      <c r="N102" s="10" t="s">
        <v>209</v>
      </c>
      <c r="O102" t="s">
        <v>557</v>
      </c>
    </row>
    <row r="103" spans="1:15" x14ac:dyDescent="0.25">
      <c r="A103" t="s">
        <v>207</v>
      </c>
      <c r="B103" s="9">
        <v>2015</v>
      </c>
      <c r="C103" t="s">
        <v>59</v>
      </c>
      <c r="D103" s="9">
        <v>2</v>
      </c>
      <c r="E103" s="26" t="s">
        <v>352</v>
      </c>
      <c r="F103" s="26" t="s">
        <v>352</v>
      </c>
      <c r="G103" t="s">
        <v>406</v>
      </c>
      <c r="H103" s="10" t="s">
        <v>539</v>
      </c>
      <c r="I103" t="s">
        <v>674</v>
      </c>
      <c r="J103" s="11">
        <v>67</v>
      </c>
      <c r="K103" s="9">
        <v>12</v>
      </c>
      <c r="L103" s="9" t="s">
        <v>322</v>
      </c>
      <c r="M103" s="9" t="s">
        <v>504</v>
      </c>
      <c r="O103" t="s">
        <v>557</v>
      </c>
    </row>
    <row r="104" spans="1:15" x14ac:dyDescent="0.25">
      <c r="A104" t="s">
        <v>16</v>
      </c>
      <c r="B104" s="9">
        <v>2023</v>
      </c>
      <c r="C104" t="s">
        <v>11</v>
      </c>
      <c r="D104" s="9">
        <v>6</v>
      </c>
      <c r="E104" s="26" t="s">
        <v>438</v>
      </c>
      <c r="F104" s="26" t="s">
        <v>390</v>
      </c>
      <c r="G104" t="s">
        <v>329</v>
      </c>
      <c r="H104" s="10" t="s">
        <v>540</v>
      </c>
      <c r="I104" t="s">
        <v>677</v>
      </c>
      <c r="J104" s="11">
        <v>68</v>
      </c>
      <c r="K104" s="9">
        <v>20</v>
      </c>
      <c r="L104" s="9" t="s">
        <v>324</v>
      </c>
      <c r="M104" s="9" t="s">
        <v>505</v>
      </c>
      <c r="O104" t="s">
        <v>596</v>
      </c>
    </row>
    <row r="105" spans="1:15" x14ac:dyDescent="0.25">
      <c r="A105" t="s">
        <v>223</v>
      </c>
      <c r="B105" s="9">
        <v>2020</v>
      </c>
      <c r="C105" t="s">
        <v>6</v>
      </c>
      <c r="D105" s="9">
        <v>3</v>
      </c>
      <c r="E105" s="26" t="s">
        <v>359</v>
      </c>
      <c r="F105" s="26" t="s">
        <v>416</v>
      </c>
      <c r="G105" t="s">
        <v>19</v>
      </c>
      <c r="H105" s="10" t="s">
        <v>541</v>
      </c>
      <c r="I105" t="s">
        <v>652</v>
      </c>
      <c r="J105" s="11">
        <v>69</v>
      </c>
      <c r="K105" s="9">
        <v>17</v>
      </c>
      <c r="L105" s="9" t="s">
        <v>324</v>
      </c>
      <c r="M105" s="9" t="s">
        <v>505</v>
      </c>
      <c r="O105" t="s">
        <v>575</v>
      </c>
    </row>
    <row r="106" spans="1:15" ht="45" x14ac:dyDescent="0.25">
      <c r="A106" t="s">
        <v>51</v>
      </c>
      <c r="B106" s="9">
        <v>2023</v>
      </c>
      <c r="C106" t="s">
        <v>40</v>
      </c>
      <c r="D106" s="9">
        <v>1</v>
      </c>
      <c r="E106" s="26" t="s">
        <v>393</v>
      </c>
      <c r="F106" s="26" t="s">
        <v>394</v>
      </c>
      <c r="G106" t="s">
        <v>19</v>
      </c>
      <c r="H106" s="10" t="s">
        <v>506</v>
      </c>
      <c r="I106" t="s">
        <v>639</v>
      </c>
      <c r="J106" s="11">
        <v>70</v>
      </c>
      <c r="K106" s="9">
        <v>64</v>
      </c>
      <c r="L106" s="9" t="s">
        <v>324</v>
      </c>
      <c r="M106" s="9" t="s">
        <v>505</v>
      </c>
      <c r="N106" s="10" t="s">
        <v>52</v>
      </c>
      <c r="O106" t="s">
        <v>579</v>
      </c>
    </row>
    <row r="107" spans="1:15" x14ac:dyDescent="0.25">
      <c r="A107" t="s">
        <v>248</v>
      </c>
      <c r="B107" s="9">
        <v>2019</v>
      </c>
      <c r="C107" t="s">
        <v>6</v>
      </c>
      <c r="D107" s="9">
        <v>3</v>
      </c>
      <c r="E107" s="26" t="s">
        <v>413</v>
      </c>
      <c r="F107" s="26" t="s">
        <v>336</v>
      </c>
      <c r="G107" t="s">
        <v>19</v>
      </c>
      <c r="H107" s="10" t="s">
        <v>506</v>
      </c>
      <c r="I107" t="s">
        <v>639</v>
      </c>
      <c r="J107" s="11">
        <v>70</v>
      </c>
      <c r="K107" s="9">
        <v>30</v>
      </c>
      <c r="L107" s="9" t="s">
        <v>324</v>
      </c>
      <c r="M107" s="9" t="s">
        <v>505</v>
      </c>
      <c r="O107" t="s">
        <v>558</v>
      </c>
    </row>
    <row r="108" spans="1:15" ht="30" x14ac:dyDescent="0.25">
      <c r="A108" t="s">
        <v>239</v>
      </c>
      <c r="B108" s="9">
        <v>2022</v>
      </c>
      <c r="C108" t="s">
        <v>59</v>
      </c>
      <c r="D108" s="9">
        <v>2</v>
      </c>
      <c r="E108" s="26">
        <v>60</v>
      </c>
      <c r="F108" s="26">
        <v>60</v>
      </c>
      <c r="G108" t="s">
        <v>329</v>
      </c>
      <c r="H108" s="10" t="s">
        <v>542</v>
      </c>
      <c r="I108" t="s">
        <v>607</v>
      </c>
      <c r="J108" s="11">
        <v>71</v>
      </c>
      <c r="K108" s="9">
        <v>1</v>
      </c>
      <c r="L108" s="9" t="s">
        <v>324</v>
      </c>
      <c r="M108" s="9" t="s">
        <v>505</v>
      </c>
      <c r="N108" s="10" t="s">
        <v>240</v>
      </c>
      <c r="O108" t="s">
        <v>241</v>
      </c>
    </row>
    <row r="109" spans="1:15" x14ac:dyDescent="0.25">
      <c r="A109" t="s">
        <v>231</v>
      </c>
      <c r="B109" s="9">
        <v>2021</v>
      </c>
      <c r="C109" t="s">
        <v>59</v>
      </c>
      <c r="D109" s="9">
        <v>2</v>
      </c>
      <c r="E109" s="26" t="s">
        <v>352</v>
      </c>
      <c r="F109" s="26" t="s">
        <v>352</v>
      </c>
      <c r="G109" t="s">
        <v>329</v>
      </c>
      <c r="H109" s="10" t="s">
        <v>551</v>
      </c>
      <c r="I109" t="s">
        <v>607</v>
      </c>
      <c r="J109" s="11">
        <v>71</v>
      </c>
      <c r="K109" s="9">
        <v>17</v>
      </c>
      <c r="L109" s="9" t="s">
        <v>324</v>
      </c>
      <c r="M109" s="9" t="s">
        <v>505</v>
      </c>
      <c r="N109" s="9" t="s">
        <v>232</v>
      </c>
      <c r="O109" t="s">
        <v>578</v>
      </c>
    </row>
    <row r="110" spans="1:15" x14ac:dyDescent="0.25">
      <c r="A110" t="s">
        <v>125</v>
      </c>
      <c r="B110" s="9">
        <v>2011</v>
      </c>
      <c r="C110" t="s">
        <v>40</v>
      </c>
      <c r="D110" s="9">
        <v>1</v>
      </c>
      <c r="E110" s="26" t="s">
        <v>405</v>
      </c>
      <c r="F110" s="26" t="s">
        <v>405</v>
      </c>
      <c r="G110" t="s">
        <v>19</v>
      </c>
      <c r="H110" s="10" t="s">
        <v>126</v>
      </c>
      <c r="I110" t="s">
        <v>552</v>
      </c>
      <c r="J110" s="11">
        <v>72</v>
      </c>
      <c r="K110" s="9">
        <v>1</v>
      </c>
      <c r="L110" s="9" t="s">
        <v>324</v>
      </c>
      <c r="M110" s="9" t="s">
        <v>505</v>
      </c>
      <c r="O110" t="s">
        <v>127</v>
      </c>
    </row>
    <row r="111" spans="1:15" x14ac:dyDescent="0.25">
      <c r="A111" t="s">
        <v>120</v>
      </c>
      <c r="B111" s="9">
        <v>2009</v>
      </c>
      <c r="C111" t="s">
        <v>367</v>
      </c>
      <c r="D111" s="9">
        <v>1</v>
      </c>
      <c r="E111" s="26" t="s">
        <v>368</v>
      </c>
      <c r="F111" s="26" t="s">
        <v>336</v>
      </c>
      <c r="G111" t="s">
        <v>331</v>
      </c>
      <c r="H111" s="10" t="s">
        <v>543</v>
      </c>
      <c r="I111" t="s">
        <v>624</v>
      </c>
      <c r="J111" s="11">
        <v>73</v>
      </c>
      <c r="K111" s="9">
        <v>1</v>
      </c>
      <c r="L111" s="9" t="s">
        <v>324</v>
      </c>
      <c r="M111" s="9" t="s">
        <v>505</v>
      </c>
      <c r="O111" t="s">
        <v>569</v>
      </c>
    </row>
    <row r="112" spans="1:15" ht="210" x14ac:dyDescent="0.25">
      <c r="A112" t="s">
        <v>45</v>
      </c>
      <c r="B112" s="9">
        <v>2023</v>
      </c>
      <c r="C112" t="s">
        <v>6</v>
      </c>
      <c r="D112" s="9">
        <v>3</v>
      </c>
      <c r="E112" s="26" t="s">
        <v>373</v>
      </c>
      <c r="F112" s="26" t="s">
        <v>374</v>
      </c>
      <c r="G112" t="s">
        <v>331</v>
      </c>
      <c r="H112" s="10" t="s">
        <v>544</v>
      </c>
      <c r="I112" t="s">
        <v>627</v>
      </c>
      <c r="J112" s="11">
        <v>74</v>
      </c>
      <c r="K112" s="9">
        <v>6</v>
      </c>
      <c r="L112" s="9" t="s">
        <v>322</v>
      </c>
      <c r="M112" s="9" t="s">
        <v>504</v>
      </c>
      <c r="N112" s="10" t="s">
        <v>47</v>
      </c>
      <c r="O112" t="s">
        <v>48</v>
      </c>
    </row>
    <row r="113" spans="1:15" ht="30" x14ac:dyDescent="0.25">
      <c r="A113" t="s">
        <v>16</v>
      </c>
      <c r="B113" s="9">
        <v>2023</v>
      </c>
      <c r="C113" t="s">
        <v>11</v>
      </c>
      <c r="D113" s="9">
        <v>6</v>
      </c>
      <c r="E113" s="26" t="s">
        <v>438</v>
      </c>
      <c r="F113" s="26" t="s">
        <v>390</v>
      </c>
      <c r="G113" t="s">
        <v>439</v>
      </c>
      <c r="H113" s="10" t="s">
        <v>545</v>
      </c>
      <c r="I113" t="s">
        <v>667</v>
      </c>
      <c r="J113" s="11">
        <v>75</v>
      </c>
      <c r="K113" s="9">
        <v>20</v>
      </c>
      <c r="L113" s="9" t="s">
        <v>324</v>
      </c>
      <c r="M113" s="9" t="s">
        <v>505</v>
      </c>
      <c r="N113" s="10" t="s">
        <v>18</v>
      </c>
      <c r="O113" t="s">
        <v>596</v>
      </c>
    </row>
    <row r="114" spans="1:15" x14ac:dyDescent="0.25">
      <c r="A114" t="s">
        <v>16</v>
      </c>
      <c r="B114" s="9">
        <v>2023</v>
      </c>
      <c r="C114" t="s">
        <v>11</v>
      </c>
      <c r="D114" s="9">
        <v>6</v>
      </c>
      <c r="E114" s="26" t="s">
        <v>438</v>
      </c>
      <c r="F114" s="26" t="s">
        <v>390</v>
      </c>
      <c r="G114" t="s">
        <v>439</v>
      </c>
      <c r="H114" s="10" t="s">
        <v>546</v>
      </c>
      <c r="I114" t="s">
        <v>675</v>
      </c>
      <c r="J114" s="11">
        <v>76</v>
      </c>
      <c r="K114" s="9">
        <v>20</v>
      </c>
      <c r="L114" s="9" t="s">
        <v>324</v>
      </c>
      <c r="M114" s="9" t="s">
        <v>505</v>
      </c>
      <c r="O114" t="s">
        <v>596</v>
      </c>
    </row>
    <row r="115" spans="1:15" x14ac:dyDescent="0.25">
      <c r="A115" t="s">
        <v>16</v>
      </c>
      <c r="B115" s="9">
        <v>2023</v>
      </c>
      <c r="C115" t="s">
        <v>11</v>
      </c>
      <c r="D115" s="9">
        <v>6</v>
      </c>
      <c r="E115" s="26" t="s">
        <v>438</v>
      </c>
      <c r="F115" s="26" t="s">
        <v>390</v>
      </c>
      <c r="G115" t="s">
        <v>439</v>
      </c>
      <c r="H115" s="10" t="s">
        <v>547</v>
      </c>
      <c r="I115" t="s">
        <v>676</v>
      </c>
      <c r="J115" s="11">
        <v>77</v>
      </c>
      <c r="K115" s="9">
        <v>20</v>
      </c>
      <c r="L115" s="9" t="s">
        <v>324</v>
      </c>
      <c r="M115" s="9" t="s">
        <v>505</v>
      </c>
      <c r="O115" t="s">
        <v>596</v>
      </c>
    </row>
    <row r="116" spans="1:15" x14ac:dyDescent="0.25">
      <c r="A116" t="s">
        <v>215</v>
      </c>
      <c r="B116" s="9">
        <v>2017</v>
      </c>
      <c r="C116" t="s">
        <v>378</v>
      </c>
      <c r="D116" s="9">
        <v>7</v>
      </c>
      <c r="E116" s="26" t="s">
        <v>379</v>
      </c>
      <c r="F116" s="26" t="s">
        <v>380</v>
      </c>
      <c r="G116" t="s">
        <v>331</v>
      </c>
      <c r="H116" s="10" t="s">
        <v>548</v>
      </c>
      <c r="I116" t="s">
        <v>631</v>
      </c>
      <c r="J116" s="11">
        <v>78</v>
      </c>
      <c r="K116" s="9">
        <v>1</v>
      </c>
      <c r="L116" s="9" t="s">
        <v>324</v>
      </c>
      <c r="M116" s="9" t="s">
        <v>505</v>
      </c>
      <c r="O116" t="s">
        <v>127</v>
      </c>
    </row>
    <row r="117" spans="1:15" x14ac:dyDescent="0.25">
      <c r="A117" t="s">
        <v>156</v>
      </c>
      <c r="B117" s="9">
        <v>2017</v>
      </c>
      <c r="C117" t="s">
        <v>59</v>
      </c>
      <c r="D117" s="9">
        <v>2</v>
      </c>
      <c r="E117" s="26" t="s">
        <v>355</v>
      </c>
      <c r="F117" s="26" t="s">
        <v>355</v>
      </c>
      <c r="G117" t="s">
        <v>331</v>
      </c>
      <c r="H117" s="10" t="s">
        <v>356</v>
      </c>
      <c r="I117" t="s">
        <v>619</v>
      </c>
      <c r="J117" s="11">
        <v>79</v>
      </c>
      <c r="K117" s="9">
        <v>2</v>
      </c>
      <c r="L117" s="9" t="s">
        <v>324</v>
      </c>
      <c r="M117" s="9" t="s">
        <v>505</v>
      </c>
      <c r="O117" t="s">
        <v>157</v>
      </c>
    </row>
    <row r="118" spans="1:15" x14ac:dyDescent="0.25">
      <c r="A118" t="s">
        <v>231</v>
      </c>
      <c r="B118" s="9">
        <v>2021</v>
      </c>
      <c r="C118" t="s">
        <v>59</v>
      </c>
      <c r="D118" s="9">
        <v>2</v>
      </c>
      <c r="E118" s="26" t="s">
        <v>352</v>
      </c>
      <c r="F118" s="26" t="s">
        <v>352</v>
      </c>
      <c r="G118" t="s">
        <v>392</v>
      </c>
      <c r="H118" s="10" t="s">
        <v>356</v>
      </c>
      <c r="I118" t="s">
        <v>619</v>
      </c>
      <c r="J118" s="11">
        <v>79</v>
      </c>
      <c r="K118" s="9">
        <v>3</v>
      </c>
      <c r="L118" s="9" t="s">
        <v>322</v>
      </c>
      <c r="M118" s="9" t="s">
        <v>504</v>
      </c>
      <c r="N118" s="9"/>
      <c r="O118" t="s">
        <v>578</v>
      </c>
    </row>
    <row r="119" spans="1:15" ht="75" x14ac:dyDescent="0.25">
      <c r="A119" t="s">
        <v>27</v>
      </c>
      <c r="B119" s="9">
        <v>2023</v>
      </c>
      <c r="C119" t="s">
        <v>330</v>
      </c>
      <c r="D119" s="9">
        <v>7</v>
      </c>
      <c r="E119" s="26">
        <v>110</v>
      </c>
      <c r="F119" s="26">
        <v>365</v>
      </c>
      <c r="G119" t="s">
        <v>331</v>
      </c>
      <c r="H119" s="10" t="s">
        <v>29</v>
      </c>
      <c r="I119" t="s">
        <v>29</v>
      </c>
      <c r="J119" s="11">
        <v>80</v>
      </c>
      <c r="K119" s="9">
        <v>2</v>
      </c>
      <c r="L119" s="9" t="s">
        <v>324</v>
      </c>
      <c r="M119" s="9" t="s">
        <v>505</v>
      </c>
      <c r="N119" s="10" t="s">
        <v>28</v>
      </c>
      <c r="O119" t="s">
        <v>30</v>
      </c>
    </row>
  </sheetData>
  <sortState xmlns:xlrd2="http://schemas.microsoft.com/office/spreadsheetml/2017/richdata2" ref="A2:P119">
    <sortCondition ref="J58:J119"/>
  </sortState>
  <conditionalFormatting sqref="I1:I1048576">
    <cfRule type="duplicateValues" dxfId="17" priority="14"/>
    <cfRule type="duplicateValues" dxfId="16" priority="15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038E-2E4A-47A2-A7C5-903ADD56DC0C}">
  <dimension ref="A1:L119"/>
  <sheetViews>
    <sheetView zoomScaleNormal="100" workbookViewId="0">
      <pane ySplit="1" topLeftCell="A2" activePane="bottomLeft" state="frozen"/>
      <selection pane="bottomLeft" activeCell="H10" sqref="H10"/>
    </sheetView>
  </sheetViews>
  <sheetFormatPr defaultRowHeight="15" x14ac:dyDescent="0.25"/>
  <cols>
    <col min="1" max="2" width="16.140625" customWidth="1"/>
    <col min="3" max="3" width="13.85546875" style="9" bestFit="1" customWidth="1"/>
    <col min="4" max="5" width="13.85546875" style="9" customWidth="1"/>
    <col min="6" max="6" width="16.42578125" customWidth="1"/>
    <col min="8" max="8" width="10.140625" bestFit="1" customWidth="1"/>
  </cols>
  <sheetData>
    <row r="1" spans="1:12" x14ac:dyDescent="0.25">
      <c r="A1" s="2" t="s">
        <v>0</v>
      </c>
      <c r="B1" s="2" t="s">
        <v>1</v>
      </c>
      <c r="C1" s="6" t="s">
        <v>312</v>
      </c>
      <c r="D1" s="6"/>
      <c r="E1" s="6"/>
      <c r="F1" s="2" t="s">
        <v>456</v>
      </c>
      <c r="G1" s="2" t="s">
        <v>454</v>
      </c>
      <c r="H1" s="2" t="s">
        <v>455</v>
      </c>
      <c r="I1" t="s">
        <v>470</v>
      </c>
    </row>
    <row r="2" spans="1:12" x14ac:dyDescent="0.25">
      <c r="A2" t="s">
        <v>68</v>
      </c>
      <c r="B2" t="s">
        <v>6</v>
      </c>
      <c r="C2" s="9">
        <v>3</v>
      </c>
      <c r="D2" s="9" t="s">
        <v>695</v>
      </c>
      <c r="F2" s="15" t="s">
        <v>40</v>
      </c>
      <c r="G2">
        <v>22</v>
      </c>
      <c r="H2" s="9">
        <f>COUNTIF(C2:C119,1)</f>
        <v>31</v>
      </c>
      <c r="I2" s="30" t="s">
        <v>472</v>
      </c>
      <c r="J2" s="15" t="s">
        <v>892</v>
      </c>
      <c r="K2">
        <f>SUM(G2,G4,G5,G6,G10,G12,G14)</f>
        <v>55</v>
      </c>
      <c r="L2">
        <f>SUM(H2,H4,H5,H6,H10,H12,H14)</f>
        <v>72</v>
      </c>
    </row>
    <row r="3" spans="1:12" x14ac:dyDescent="0.25">
      <c r="A3" s="50" t="s">
        <v>68</v>
      </c>
      <c r="B3" s="50" t="s">
        <v>6</v>
      </c>
      <c r="C3" s="51">
        <v>3</v>
      </c>
      <c r="D3" s="52" t="s">
        <v>694</v>
      </c>
      <c r="F3" s="15" t="s">
        <v>59</v>
      </c>
      <c r="G3">
        <v>21</v>
      </c>
      <c r="H3" s="9">
        <f>COUNTIF(C1:C119,2)</f>
        <v>23</v>
      </c>
      <c r="I3" s="21" t="s">
        <v>471</v>
      </c>
      <c r="J3" s="15" t="s">
        <v>893</v>
      </c>
      <c r="K3">
        <f>SUM(G3,G9,G11,G13)</f>
        <v>26</v>
      </c>
      <c r="L3">
        <f>SUM(H3,H9,H11,H13)</f>
        <v>28</v>
      </c>
    </row>
    <row r="4" spans="1:12" x14ac:dyDescent="0.25">
      <c r="A4" t="s">
        <v>242</v>
      </c>
      <c r="B4" t="s">
        <v>40</v>
      </c>
      <c r="C4" s="9">
        <v>1</v>
      </c>
      <c r="F4" s="15" t="s">
        <v>6</v>
      </c>
      <c r="G4">
        <v>14</v>
      </c>
      <c r="H4" s="9">
        <f>COUNTIF(C1:C119,3)</f>
        <v>16</v>
      </c>
      <c r="I4" s="31" t="s">
        <v>473</v>
      </c>
      <c r="J4" s="15" t="s">
        <v>894</v>
      </c>
      <c r="K4">
        <f>SUM(G7,G8)</f>
        <v>11</v>
      </c>
      <c r="L4">
        <f>SUM(H7,H8)</f>
        <v>18</v>
      </c>
    </row>
    <row r="5" spans="1:12" x14ac:dyDescent="0.25">
      <c r="A5" t="s">
        <v>33</v>
      </c>
      <c r="B5" t="s">
        <v>327</v>
      </c>
      <c r="C5" s="9">
        <v>7</v>
      </c>
      <c r="F5" s="15" t="s">
        <v>115</v>
      </c>
      <c r="G5">
        <v>8</v>
      </c>
      <c r="H5" s="9">
        <f>COUNTIF(C1:C119,4)</f>
        <v>10</v>
      </c>
      <c r="I5" s="32" t="s">
        <v>474</v>
      </c>
    </row>
    <row r="6" spans="1:12" x14ac:dyDescent="0.25">
      <c r="A6" t="s">
        <v>185</v>
      </c>
      <c r="B6" t="s">
        <v>6</v>
      </c>
      <c r="C6" s="9">
        <v>3</v>
      </c>
      <c r="F6" s="15" t="s">
        <v>451</v>
      </c>
      <c r="G6">
        <v>7</v>
      </c>
      <c r="H6" s="9">
        <f>COUNTIF(C1:C119,5)</f>
        <v>7</v>
      </c>
      <c r="I6" s="33" t="s">
        <v>481</v>
      </c>
    </row>
    <row r="7" spans="1:12" x14ac:dyDescent="0.25">
      <c r="A7" t="s">
        <v>205</v>
      </c>
      <c r="B7" t="s">
        <v>59</v>
      </c>
      <c r="C7" s="9">
        <v>2</v>
      </c>
      <c r="F7" s="15" t="s">
        <v>11</v>
      </c>
      <c r="G7">
        <v>6</v>
      </c>
      <c r="H7" s="9">
        <v>12</v>
      </c>
      <c r="I7" s="22" t="s">
        <v>475</v>
      </c>
    </row>
    <row r="8" spans="1:12" x14ac:dyDescent="0.25">
      <c r="A8" t="s">
        <v>239</v>
      </c>
      <c r="B8" t="s">
        <v>59</v>
      </c>
      <c r="C8" s="9">
        <v>2</v>
      </c>
      <c r="F8" s="15" t="s">
        <v>452</v>
      </c>
      <c r="G8">
        <v>5</v>
      </c>
      <c r="H8" s="9">
        <f>COUNTIF(C1:C119,7)</f>
        <v>6</v>
      </c>
      <c r="I8" s="23" t="s">
        <v>476</v>
      </c>
    </row>
    <row r="9" spans="1:12" x14ac:dyDescent="0.25">
      <c r="A9" t="s">
        <v>27</v>
      </c>
      <c r="B9" t="s">
        <v>330</v>
      </c>
      <c r="C9" s="9">
        <v>7</v>
      </c>
      <c r="F9" s="15" t="s">
        <v>201</v>
      </c>
      <c r="G9">
        <v>2</v>
      </c>
      <c r="H9" s="9">
        <v>2</v>
      </c>
      <c r="I9" s="29" t="s">
        <v>480</v>
      </c>
    </row>
    <row r="10" spans="1:12" x14ac:dyDescent="0.25">
      <c r="A10" t="s">
        <v>175</v>
      </c>
      <c r="B10" t="s">
        <v>59</v>
      </c>
      <c r="C10" s="9">
        <v>2</v>
      </c>
      <c r="F10" s="15" t="s">
        <v>369</v>
      </c>
      <c r="G10">
        <v>2</v>
      </c>
      <c r="H10" s="9">
        <f>COUNTIF(C1:C119,9)</f>
        <v>2</v>
      </c>
      <c r="I10" s="34" t="s">
        <v>485</v>
      </c>
    </row>
    <row r="11" spans="1:12" x14ac:dyDescent="0.25">
      <c r="A11" t="s">
        <v>148</v>
      </c>
      <c r="B11" t="s">
        <v>40</v>
      </c>
      <c r="C11" s="9">
        <v>1</v>
      </c>
      <c r="F11" s="15" t="s">
        <v>139</v>
      </c>
      <c r="G11">
        <v>2</v>
      </c>
      <c r="H11" s="9">
        <f>COUNTIF(C1:C119,10)</f>
        <v>2</v>
      </c>
      <c r="I11" s="35" t="s">
        <v>477</v>
      </c>
    </row>
    <row r="12" spans="1:12" x14ac:dyDescent="0.25">
      <c r="A12" t="s">
        <v>105</v>
      </c>
      <c r="B12" t="s">
        <v>332</v>
      </c>
      <c r="C12" s="9">
        <v>5</v>
      </c>
      <c r="F12" s="15" t="s">
        <v>453</v>
      </c>
      <c r="G12">
        <v>1</v>
      </c>
      <c r="H12" s="9">
        <f>COUNTIF(C1:C119,11)</f>
        <v>1</v>
      </c>
      <c r="I12" s="36" t="s">
        <v>478</v>
      </c>
    </row>
    <row r="13" spans="1:12" x14ac:dyDescent="0.25">
      <c r="A13" t="s">
        <v>58</v>
      </c>
      <c r="B13" t="s">
        <v>59</v>
      </c>
      <c r="C13" s="9">
        <v>2</v>
      </c>
      <c r="F13" s="15" t="s">
        <v>447</v>
      </c>
      <c r="G13">
        <v>1</v>
      </c>
      <c r="H13" s="9">
        <f>COUNTIF(C1:C119,12)</f>
        <v>1</v>
      </c>
      <c r="I13" s="37" t="s">
        <v>482</v>
      </c>
    </row>
    <row r="14" spans="1:12" x14ac:dyDescent="0.25">
      <c r="A14" t="s">
        <v>168</v>
      </c>
      <c r="B14" t="s">
        <v>40</v>
      </c>
      <c r="C14" s="9">
        <v>1</v>
      </c>
      <c r="F14" s="15" t="s">
        <v>437</v>
      </c>
      <c r="G14">
        <v>1</v>
      </c>
      <c r="H14" s="9">
        <f>COUNTIF(C1:C119,13)</f>
        <v>5</v>
      </c>
      <c r="I14" s="38" t="s">
        <v>479</v>
      </c>
    </row>
    <row r="15" spans="1:12" x14ac:dyDescent="0.25">
      <c r="A15" t="s">
        <v>108</v>
      </c>
      <c r="B15" t="s">
        <v>40</v>
      </c>
      <c r="C15" s="9">
        <v>1</v>
      </c>
    </row>
    <row r="16" spans="1:12" x14ac:dyDescent="0.25">
      <c r="A16" t="s">
        <v>219</v>
      </c>
      <c r="B16" t="s">
        <v>341</v>
      </c>
      <c r="C16" s="9">
        <v>8</v>
      </c>
    </row>
    <row r="17" spans="1:3" x14ac:dyDescent="0.25">
      <c r="A17" t="s">
        <v>85</v>
      </c>
      <c r="B17" t="s">
        <v>59</v>
      </c>
      <c r="C17" s="9">
        <v>2</v>
      </c>
    </row>
    <row r="18" spans="1:3" x14ac:dyDescent="0.25">
      <c r="A18" s="50" t="s">
        <v>85</v>
      </c>
      <c r="B18" s="50" t="s">
        <v>59</v>
      </c>
      <c r="C18" s="51">
        <v>2</v>
      </c>
    </row>
    <row r="19" spans="1:3" x14ac:dyDescent="0.25">
      <c r="A19" t="s">
        <v>141</v>
      </c>
      <c r="B19" t="s">
        <v>346</v>
      </c>
      <c r="C19" s="9">
        <v>8</v>
      </c>
    </row>
    <row r="20" spans="1:3" x14ac:dyDescent="0.25">
      <c r="A20" t="s">
        <v>81</v>
      </c>
      <c r="B20" t="s">
        <v>59</v>
      </c>
      <c r="C20" s="9">
        <v>2</v>
      </c>
    </row>
    <row r="21" spans="1:3" x14ac:dyDescent="0.25">
      <c r="A21" t="s">
        <v>39</v>
      </c>
      <c r="B21" t="s">
        <v>40</v>
      </c>
      <c r="C21" s="9">
        <v>1</v>
      </c>
    </row>
    <row r="22" spans="1:3" x14ac:dyDescent="0.25">
      <c r="A22" t="s">
        <v>210</v>
      </c>
      <c r="B22" t="s">
        <v>6</v>
      </c>
      <c r="C22" s="9">
        <v>3</v>
      </c>
    </row>
    <row r="23" spans="1:3" x14ac:dyDescent="0.25">
      <c r="A23" t="s">
        <v>32</v>
      </c>
      <c r="B23" t="s">
        <v>40</v>
      </c>
      <c r="C23" s="9">
        <v>1</v>
      </c>
    </row>
    <row r="24" spans="1:3" x14ac:dyDescent="0.25">
      <c r="A24" t="s">
        <v>114</v>
      </c>
      <c r="B24" t="s">
        <v>115</v>
      </c>
      <c r="C24" s="9">
        <v>4</v>
      </c>
    </row>
    <row r="25" spans="1:3" x14ac:dyDescent="0.25">
      <c r="A25" t="s">
        <v>156</v>
      </c>
      <c r="B25" t="s">
        <v>59</v>
      </c>
      <c r="C25" s="9">
        <v>2</v>
      </c>
    </row>
    <row r="26" spans="1:3" x14ac:dyDescent="0.25">
      <c r="A26" t="s">
        <v>95</v>
      </c>
      <c r="B26" t="s">
        <v>332</v>
      </c>
      <c r="C26" s="9">
        <v>5</v>
      </c>
    </row>
    <row r="27" spans="1:3" x14ac:dyDescent="0.25">
      <c r="A27" t="s">
        <v>133</v>
      </c>
      <c r="B27" t="s">
        <v>6</v>
      </c>
      <c r="C27" s="9">
        <v>3</v>
      </c>
    </row>
    <row r="28" spans="1:3" x14ac:dyDescent="0.25">
      <c r="A28" t="s">
        <v>76</v>
      </c>
      <c r="B28" t="s">
        <v>6</v>
      </c>
      <c r="C28" s="9">
        <v>3</v>
      </c>
    </row>
    <row r="29" spans="1:3" x14ac:dyDescent="0.25">
      <c r="A29" t="s">
        <v>88</v>
      </c>
      <c r="B29" t="s">
        <v>332</v>
      </c>
      <c r="C29" s="9">
        <v>5</v>
      </c>
    </row>
    <row r="30" spans="1:3" x14ac:dyDescent="0.25">
      <c r="A30" t="s">
        <v>99</v>
      </c>
      <c r="B30" t="s">
        <v>59</v>
      </c>
      <c r="C30" s="9">
        <v>2</v>
      </c>
    </row>
    <row r="31" spans="1:3" x14ac:dyDescent="0.25">
      <c r="A31" t="s">
        <v>99</v>
      </c>
      <c r="B31" t="s">
        <v>362</v>
      </c>
      <c r="C31" s="9">
        <v>5</v>
      </c>
    </row>
    <row r="32" spans="1:3" x14ac:dyDescent="0.25">
      <c r="A32" t="s">
        <v>187</v>
      </c>
      <c r="B32" t="s">
        <v>332</v>
      </c>
      <c r="C32" s="9">
        <v>5</v>
      </c>
    </row>
    <row r="33" spans="1:3" x14ac:dyDescent="0.25">
      <c r="A33" t="s">
        <v>120</v>
      </c>
      <c r="B33" t="s">
        <v>367</v>
      </c>
      <c r="C33" s="9">
        <v>1</v>
      </c>
    </row>
    <row r="34" spans="1:3" x14ac:dyDescent="0.25">
      <c r="A34" t="s">
        <v>171</v>
      </c>
      <c r="B34" t="s">
        <v>40</v>
      </c>
      <c r="C34" s="9">
        <v>1</v>
      </c>
    </row>
    <row r="35" spans="1:3" x14ac:dyDescent="0.25">
      <c r="A35" t="s">
        <v>122</v>
      </c>
      <c r="B35" t="s">
        <v>369</v>
      </c>
      <c r="C35" s="9">
        <v>9</v>
      </c>
    </row>
    <row r="36" spans="1:3" x14ac:dyDescent="0.25">
      <c r="A36" t="s">
        <v>213</v>
      </c>
      <c r="B36" t="s">
        <v>6</v>
      </c>
      <c r="C36" s="9">
        <v>3</v>
      </c>
    </row>
    <row r="37" spans="1:3" x14ac:dyDescent="0.25">
      <c r="A37" t="s">
        <v>250</v>
      </c>
      <c r="B37" t="s">
        <v>59</v>
      </c>
      <c r="C37" s="9">
        <v>2</v>
      </c>
    </row>
    <row r="38" spans="1:3" x14ac:dyDescent="0.25">
      <c r="A38" t="s">
        <v>45</v>
      </c>
      <c r="B38" t="s">
        <v>6</v>
      </c>
      <c r="C38" s="9">
        <v>3</v>
      </c>
    </row>
    <row r="39" spans="1:3" x14ac:dyDescent="0.25">
      <c r="A39" t="s">
        <v>193</v>
      </c>
      <c r="B39" t="s">
        <v>139</v>
      </c>
      <c r="C39" s="9">
        <v>10</v>
      </c>
    </row>
    <row r="40" spans="1:3" x14ac:dyDescent="0.25">
      <c r="A40" t="s">
        <v>236</v>
      </c>
      <c r="B40" t="s">
        <v>6</v>
      </c>
      <c r="C40" s="9">
        <v>3</v>
      </c>
    </row>
    <row r="41" spans="1:3" x14ac:dyDescent="0.25">
      <c r="A41" t="s">
        <v>215</v>
      </c>
      <c r="B41" t="s">
        <v>378</v>
      </c>
      <c r="C41" s="9">
        <v>7</v>
      </c>
    </row>
    <row r="42" spans="1:3" x14ac:dyDescent="0.25">
      <c r="A42" s="50" t="s">
        <v>215</v>
      </c>
      <c r="B42" s="50" t="s">
        <v>378</v>
      </c>
      <c r="C42" s="51">
        <v>7</v>
      </c>
    </row>
    <row r="43" spans="1:3" x14ac:dyDescent="0.25">
      <c r="A43" t="s">
        <v>55</v>
      </c>
      <c r="B43" t="s">
        <v>11</v>
      </c>
      <c r="C43" s="9">
        <v>6</v>
      </c>
    </row>
    <row r="44" spans="1:3" x14ac:dyDescent="0.25">
      <c r="A44" t="s">
        <v>22</v>
      </c>
      <c r="B44" t="s">
        <v>330</v>
      </c>
      <c r="C44" s="9">
        <v>7</v>
      </c>
    </row>
    <row r="45" spans="1:3" x14ac:dyDescent="0.25">
      <c r="A45" t="s">
        <v>274</v>
      </c>
      <c r="B45" t="s">
        <v>59</v>
      </c>
      <c r="C45" s="9">
        <v>2</v>
      </c>
    </row>
    <row r="46" spans="1:3" x14ac:dyDescent="0.25">
      <c r="A46" t="s">
        <v>220</v>
      </c>
      <c r="B46" t="s">
        <v>115</v>
      </c>
      <c r="C46" s="9">
        <v>4</v>
      </c>
    </row>
    <row r="47" spans="1:3" x14ac:dyDescent="0.25">
      <c r="A47" s="50" t="s">
        <v>220</v>
      </c>
      <c r="B47" s="50" t="s">
        <v>115</v>
      </c>
      <c r="C47" s="51">
        <v>4</v>
      </c>
    </row>
    <row r="48" spans="1:3" x14ac:dyDescent="0.25">
      <c r="A48" t="s">
        <v>179</v>
      </c>
      <c r="B48" t="s">
        <v>59</v>
      </c>
      <c r="C48" s="9">
        <v>2</v>
      </c>
    </row>
    <row r="49" spans="1:3" x14ac:dyDescent="0.25">
      <c r="A49" t="s">
        <v>163</v>
      </c>
      <c r="B49" t="s">
        <v>59</v>
      </c>
      <c r="C49" s="9">
        <v>2</v>
      </c>
    </row>
    <row r="50" spans="1:3" x14ac:dyDescent="0.25">
      <c r="A50" t="s">
        <v>163</v>
      </c>
      <c r="B50" t="s">
        <v>388</v>
      </c>
      <c r="C50" s="9">
        <v>6</v>
      </c>
    </row>
    <row r="51" spans="1:3" x14ac:dyDescent="0.25">
      <c r="A51" s="50" t="s">
        <v>163</v>
      </c>
      <c r="B51" s="50" t="s">
        <v>388</v>
      </c>
      <c r="C51" s="51">
        <v>6</v>
      </c>
    </row>
    <row r="52" spans="1:3" x14ac:dyDescent="0.25">
      <c r="A52" s="50" t="s">
        <v>163</v>
      </c>
      <c r="B52" s="50" t="s">
        <v>388</v>
      </c>
      <c r="C52" s="51">
        <v>6</v>
      </c>
    </row>
    <row r="53" spans="1:3" x14ac:dyDescent="0.25">
      <c r="A53" s="50" t="s">
        <v>163</v>
      </c>
      <c r="B53" s="50" t="s">
        <v>388</v>
      </c>
      <c r="C53" s="51">
        <v>6</v>
      </c>
    </row>
    <row r="54" spans="1:3" x14ac:dyDescent="0.25">
      <c r="A54" t="s">
        <v>231</v>
      </c>
      <c r="B54" t="s">
        <v>59</v>
      </c>
      <c r="C54" s="9">
        <v>2</v>
      </c>
    </row>
    <row r="55" spans="1:3" x14ac:dyDescent="0.25">
      <c r="A55" t="s">
        <v>231</v>
      </c>
      <c r="B55" t="s">
        <v>59</v>
      </c>
      <c r="C55" s="9">
        <v>2</v>
      </c>
    </row>
    <row r="56" spans="1:3" x14ac:dyDescent="0.25">
      <c r="A56" t="s">
        <v>182</v>
      </c>
      <c r="B56" t="s">
        <v>59</v>
      </c>
      <c r="C56" s="9">
        <v>2</v>
      </c>
    </row>
    <row r="57" spans="1:3" x14ac:dyDescent="0.25">
      <c r="A57" t="s">
        <v>51</v>
      </c>
      <c r="B57" t="s">
        <v>40</v>
      </c>
      <c r="C57" s="9">
        <v>1</v>
      </c>
    </row>
    <row r="58" spans="1:3" x14ac:dyDescent="0.25">
      <c r="A58" t="s">
        <v>4</v>
      </c>
      <c r="B58" t="s">
        <v>6</v>
      </c>
      <c r="C58" s="9">
        <v>3</v>
      </c>
    </row>
    <row r="59" spans="1:3" x14ac:dyDescent="0.25">
      <c r="A59" s="50" t="s">
        <v>4</v>
      </c>
      <c r="B59" s="50" t="s">
        <v>6</v>
      </c>
      <c r="C59" s="51">
        <v>3</v>
      </c>
    </row>
    <row r="60" spans="1:3" x14ac:dyDescent="0.25">
      <c r="A60" t="s">
        <v>128</v>
      </c>
      <c r="B60" t="s">
        <v>40</v>
      </c>
      <c r="C60" s="9">
        <v>1</v>
      </c>
    </row>
    <row r="61" spans="1:3" x14ac:dyDescent="0.25">
      <c r="A61" t="s">
        <v>256</v>
      </c>
      <c r="B61" t="s">
        <v>257</v>
      </c>
      <c r="C61" s="9">
        <v>11</v>
      </c>
    </row>
    <row r="62" spans="1:3" x14ac:dyDescent="0.25">
      <c r="A62" t="s">
        <v>10</v>
      </c>
      <c r="B62" t="s">
        <v>11</v>
      </c>
      <c r="C62" s="9">
        <v>6</v>
      </c>
    </row>
    <row r="63" spans="1:3" x14ac:dyDescent="0.25">
      <c r="A63" t="s">
        <v>64</v>
      </c>
      <c r="B63" t="s">
        <v>40</v>
      </c>
      <c r="C63" s="9">
        <v>1</v>
      </c>
    </row>
    <row r="64" spans="1:3" x14ac:dyDescent="0.25">
      <c r="A64" t="s">
        <v>123</v>
      </c>
      <c r="B64" t="s">
        <v>40</v>
      </c>
      <c r="C64" s="9">
        <v>1</v>
      </c>
    </row>
    <row r="65" spans="1:3" x14ac:dyDescent="0.25">
      <c r="A65" t="s">
        <v>259</v>
      </c>
      <c r="B65" t="s">
        <v>40</v>
      </c>
      <c r="C65" s="9">
        <v>1</v>
      </c>
    </row>
    <row r="66" spans="1:3" x14ac:dyDescent="0.25">
      <c r="A66" t="s">
        <v>245</v>
      </c>
      <c r="B66" t="s">
        <v>403</v>
      </c>
      <c r="C66" s="9">
        <v>9</v>
      </c>
    </row>
    <row r="67" spans="1:3" x14ac:dyDescent="0.25">
      <c r="A67" t="s">
        <v>125</v>
      </c>
      <c r="B67" t="s">
        <v>40</v>
      </c>
      <c r="C67" s="9">
        <v>1</v>
      </c>
    </row>
    <row r="68" spans="1:3" x14ac:dyDescent="0.25">
      <c r="A68" t="s">
        <v>207</v>
      </c>
      <c r="B68" t="s">
        <v>59</v>
      </c>
      <c r="C68" s="9">
        <v>2</v>
      </c>
    </row>
    <row r="69" spans="1:3" x14ac:dyDescent="0.25">
      <c r="A69" s="50" t="s">
        <v>207</v>
      </c>
      <c r="B69" s="50" t="s">
        <v>59</v>
      </c>
      <c r="C69" s="51">
        <v>2</v>
      </c>
    </row>
    <row r="70" spans="1:3" x14ac:dyDescent="0.25">
      <c r="A70" t="s">
        <v>189</v>
      </c>
      <c r="B70" t="s">
        <v>407</v>
      </c>
      <c r="C70" s="9">
        <v>5</v>
      </c>
    </row>
    <row r="71" spans="1:3" x14ac:dyDescent="0.25">
      <c r="A71" t="s">
        <v>152</v>
      </c>
      <c r="B71" t="s">
        <v>40</v>
      </c>
      <c r="C71" s="9">
        <v>1</v>
      </c>
    </row>
    <row r="72" spans="1:3" x14ac:dyDescent="0.25">
      <c r="A72" t="s">
        <v>217</v>
      </c>
      <c r="B72" t="s">
        <v>409</v>
      </c>
      <c r="C72" s="9">
        <v>5</v>
      </c>
    </row>
    <row r="73" spans="1:3" x14ac:dyDescent="0.25">
      <c r="A73" t="s">
        <v>145</v>
      </c>
      <c r="B73" t="s">
        <v>115</v>
      </c>
      <c r="C73" s="9">
        <v>4</v>
      </c>
    </row>
    <row r="74" spans="1:3" x14ac:dyDescent="0.25">
      <c r="A74" t="s">
        <v>91</v>
      </c>
      <c r="B74" t="s">
        <v>40</v>
      </c>
      <c r="C74" s="9">
        <v>1</v>
      </c>
    </row>
    <row r="75" spans="1:3" x14ac:dyDescent="0.25">
      <c r="A75" t="s">
        <v>117</v>
      </c>
      <c r="B75" t="s">
        <v>59</v>
      </c>
      <c r="C75" s="9">
        <v>2</v>
      </c>
    </row>
    <row r="76" spans="1:3" x14ac:dyDescent="0.25">
      <c r="A76" t="s">
        <v>246</v>
      </c>
      <c r="B76" t="s">
        <v>115</v>
      </c>
      <c r="C76" s="9">
        <v>4</v>
      </c>
    </row>
    <row r="77" spans="1:3" x14ac:dyDescent="0.25">
      <c r="A77" t="s">
        <v>248</v>
      </c>
      <c r="B77" t="s">
        <v>6</v>
      </c>
      <c r="C77" s="9">
        <v>3</v>
      </c>
    </row>
    <row r="78" spans="1:3" x14ac:dyDescent="0.25">
      <c r="A78" t="s">
        <v>176</v>
      </c>
      <c r="B78" t="s">
        <v>6</v>
      </c>
      <c r="C78" s="9">
        <v>3</v>
      </c>
    </row>
    <row r="79" spans="1:3" x14ac:dyDescent="0.25">
      <c r="A79" t="s">
        <v>223</v>
      </c>
      <c r="B79" t="s">
        <v>6</v>
      </c>
      <c r="C79" s="9">
        <v>3</v>
      </c>
    </row>
    <row r="80" spans="1:3" x14ac:dyDescent="0.25">
      <c r="A80" t="s">
        <v>199</v>
      </c>
      <c r="B80" t="s">
        <v>115</v>
      </c>
      <c r="C80" s="9">
        <v>4</v>
      </c>
    </row>
    <row r="81" spans="1:3" x14ac:dyDescent="0.25">
      <c r="A81" t="s">
        <v>138</v>
      </c>
      <c r="B81" t="s">
        <v>139</v>
      </c>
      <c r="C81" s="9">
        <v>10</v>
      </c>
    </row>
    <row r="82" spans="1:3" x14ac:dyDescent="0.25">
      <c r="A82" t="s">
        <v>222</v>
      </c>
      <c r="B82" t="s">
        <v>40</v>
      </c>
      <c r="C82" s="9">
        <v>1</v>
      </c>
    </row>
    <row r="83" spans="1:3" x14ac:dyDescent="0.25">
      <c r="A83" t="s">
        <v>101</v>
      </c>
      <c r="B83" t="s">
        <v>6</v>
      </c>
      <c r="C83" s="9">
        <v>3</v>
      </c>
    </row>
    <row r="84" spans="1:3" x14ac:dyDescent="0.25">
      <c r="A84" t="s">
        <v>66</v>
      </c>
      <c r="B84" t="s">
        <v>6</v>
      </c>
      <c r="C84" s="9">
        <v>3</v>
      </c>
    </row>
    <row r="85" spans="1:3" x14ac:dyDescent="0.25">
      <c r="A85" t="s">
        <v>190</v>
      </c>
      <c r="B85" t="s">
        <v>59</v>
      </c>
      <c r="C85" s="9">
        <v>2</v>
      </c>
    </row>
    <row r="86" spans="1:3" x14ac:dyDescent="0.25">
      <c r="A86" t="s">
        <v>197</v>
      </c>
      <c r="B86" t="s">
        <v>59</v>
      </c>
      <c r="C86" s="9">
        <v>2</v>
      </c>
    </row>
    <row r="87" spans="1:3" x14ac:dyDescent="0.25">
      <c r="A87" t="s">
        <v>173</v>
      </c>
      <c r="B87" t="s">
        <v>424</v>
      </c>
      <c r="C87" s="9">
        <v>7</v>
      </c>
    </row>
    <row r="88" spans="1:3" x14ac:dyDescent="0.25">
      <c r="A88" t="s">
        <v>311</v>
      </c>
      <c r="B88" t="s">
        <v>40</v>
      </c>
      <c r="C88" s="9">
        <v>1</v>
      </c>
    </row>
    <row r="89" spans="1:3" x14ac:dyDescent="0.25">
      <c r="A89" s="50" t="s">
        <v>311</v>
      </c>
      <c r="B89" s="50" t="s">
        <v>40</v>
      </c>
      <c r="C89" s="51">
        <v>1</v>
      </c>
    </row>
    <row r="90" spans="1:3" x14ac:dyDescent="0.25">
      <c r="A90" s="50" t="s">
        <v>311</v>
      </c>
      <c r="B90" s="50" t="s">
        <v>40</v>
      </c>
      <c r="C90" s="51">
        <v>1</v>
      </c>
    </row>
    <row r="91" spans="1:3" x14ac:dyDescent="0.25">
      <c r="A91" s="50" t="s">
        <v>311</v>
      </c>
      <c r="B91" s="50" t="s">
        <v>40</v>
      </c>
      <c r="C91" s="51">
        <v>1</v>
      </c>
    </row>
    <row r="92" spans="1:3" x14ac:dyDescent="0.25">
      <c r="A92" s="50" t="s">
        <v>311</v>
      </c>
      <c r="B92" s="50" t="s">
        <v>40</v>
      </c>
      <c r="C92" s="51">
        <v>1</v>
      </c>
    </row>
    <row r="93" spans="1:3" x14ac:dyDescent="0.25">
      <c r="A93" s="50" t="s">
        <v>311</v>
      </c>
      <c r="B93" s="50" t="s">
        <v>40</v>
      </c>
      <c r="C93" s="51">
        <v>1</v>
      </c>
    </row>
    <row r="94" spans="1:3" x14ac:dyDescent="0.25">
      <c r="A94" s="50" t="s">
        <v>311</v>
      </c>
      <c r="B94" s="50" t="s">
        <v>40</v>
      </c>
      <c r="C94" s="51">
        <v>1</v>
      </c>
    </row>
    <row r="95" spans="1:3" x14ac:dyDescent="0.25">
      <c r="A95" t="s">
        <v>310</v>
      </c>
      <c r="B95" t="s">
        <v>40</v>
      </c>
      <c r="C95" s="9">
        <v>1</v>
      </c>
    </row>
    <row r="96" spans="1:3" x14ac:dyDescent="0.25">
      <c r="A96" t="s">
        <v>253</v>
      </c>
      <c r="B96" t="s">
        <v>434</v>
      </c>
      <c r="C96" s="9">
        <v>6</v>
      </c>
    </row>
    <row r="97" spans="1:3" x14ac:dyDescent="0.25">
      <c r="A97" t="s">
        <v>136</v>
      </c>
      <c r="B97" t="s">
        <v>437</v>
      </c>
      <c r="C97" s="9">
        <v>13</v>
      </c>
    </row>
    <row r="98" spans="1:3" x14ac:dyDescent="0.25">
      <c r="A98" s="50" t="s">
        <v>136</v>
      </c>
      <c r="B98" s="50" t="s">
        <v>437</v>
      </c>
      <c r="C98" s="51">
        <v>13</v>
      </c>
    </row>
    <row r="99" spans="1:3" x14ac:dyDescent="0.25">
      <c r="A99" s="50" t="s">
        <v>136</v>
      </c>
      <c r="B99" s="50" t="s">
        <v>437</v>
      </c>
      <c r="C99" s="51">
        <v>13</v>
      </c>
    </row>
    <row r="100" spans="1:3" x14ac:dyDescent="0.25">
      <c r="A100" s="50" t="s">
        <v>136</v>
      </c>
      <c r="B100" s="50" t="s">
        <v>437</v>
      </c>
      <c r="C100" s="51">
        <v>13</v>
      </c>
    </row>
    <row r="101" spans="1:3" x14ac:dyDescent="0.25">
      <c r="A101" s="50" t="s">
        <v>136</v>
      </c>
      <c r="B101" s="50" t="s">
        <v>437</v>
      </c>
      <c r="C101" s="51">
        <v>13</v>
      </c>
    </row>
    <row r="102" spans="1:3" x14ac:dyDescent="0.25">
      <c r="A102" t="s">
        <v>16</v>
      </c>
      <c r="B102" t="s">
        <v>11</v>
      </c>
      <c r="C102" s="9">
        <v>6</v>
      </c>
    </row>
    <row r="103" spans="1:3" x14ac:dyDescent="0.25">
      <c r="A103" s="50" t="s">
        <v>16</v>
      </c>
      <c r="B103" s="50" t="s">
        <v>11</v>
      </c>
      <c r="C103" s="51">
        <v>6</v>
      </c>
    </row>
    <row r="104" spans="1:3" x14ac:dyDescent="0.25">
      <c r="A104" s="50" t="s">
        <v>16</v>
      </c>
      <c r="B104" s="50" t="s">
        <v>11</v>
      </c>
      <c r="C104" s="51">
        <v>6</v>
      </c>
    </row>
    <row r="105" spans="1:3" x14ac:dyDescent="0.25">
      <c r="A105" s="50" t="s">
        <v>16</v>
      </c>
      <c r="B105" s="50" t="s">
        <v>11</v>
      </c>
      <c r="C105" s="51">
        <v>6</v>
      </c>
    </row>
    <row r="106" spans="1:3" x14ac:dyDescent="0.25">
      <c r="A106" t="s">
        <v>130</v>
      </c>
      <c r="B106" t="s">
        <v>115</v>
      </c>
      <c r="C106" s="9">
        <v>4</v>
      </c>
    </row>
    <row r="107" spans="1:3" x14ac:dyDescent="0.25">
      <c r="A107" t="s">
        <v>203</v>
      </c>
      <c r="B107" t="s">
        <v>40</v>
      </c>
      <c r="C107" s="9">
        <v>1</v>
      </c>
    </row>
    <row r="108" spans="1:3" x14ac:dyDescent="0.25">
      <c r="A108" s="50" t="s">
        <v>203</v>
      </c>
      <c r="B108" s="50" t="s">
        <v>40</v>
      </c>
      <c r="C108" s="51">
        <v>1</v>
      </c>
    </row>
    <row r="109" spans="1:3" x14ac:dyDescent="0.25">
      <c r="A109" s="50" t="s">
        <v>203</v>
      </c>
      <c r="B109" s="50" t="s">
        <v>40</v>
      </c>
      <c r="C109" s="51">
        <v>1</v>
      </c>
    </row>
    <row r="110" spans="1:3" x14ac:dyDescent="0.25">
      <c r="A110" t="s">
        <v>226</v>
      </c>
      <c r="B110" t="s">
        <v>59</v>
      </c>
      <c r="C110" s="9">
        <v>2</v>
      </c>
    </row>
    <row r="111" spans="1:3" x14ac:dyDescent="0.25">
      <c r="A111" t="s">
        <v>224</v>
      </c>
      <c r="B111" t="s">
        <v>40</v>
      </c>
      <c r="C111" s="9">
        <v>1</v>
      </c>
    </row>
    <row r="112" spans="1:3" x14ac:dyDescent="0.25">
      <c r="A112" t="s">
        <v>72</v>
      </c>
      <c r="B112" t="s">
        <v>59</v>
      </c>
      <c r="C112" s="9">
        <v>2</v>
      </c>
    </row>
    <row r="113" spans="1:3" x14ac:dyDescent="0.25">
      <c r="A113" t="s">
        <v>194</v>
      </c>
      <c r="B113" t="s">
        <v>115</v>
      </c>
      <c r="C113" s="9">
        <v>4</v>
      </c>
    </row>
    <row r="114" spans="1:3" x14ac:dyDescent="0.25">
      <c r="A114" t="s">
        <v>160</v>
      </c>
      <c r="B114" t="s">
        <v>447</v>
      </c>
      <c r="C114" s="9">
        <v>12</v>
      </c>
    </row>
    <row r="115" spans="1:3" x14ac:dyDescent="0.25">
      <c r="A115" t="s">
        <v>233</v>
      </c>
      <c r="B115" t="s">
        <v>40</v>
      </c>
      <c r="C115" s="9">
        <v>1</v>
      </c>
    </row>
    <row r="116" spans="1:3" x14ac:dyDescent="0.25">
      <c r="A116" s="50" t="s">
        <v>233</v>
      </c>
      <c r="B116" s="50" t="s">
        <v>40</v>
      </c>
      <c r="C116" s="51">
        <v>1</v>
      </c>
    </row>
    <row r="117" spans="1:3" x14ac:dyDescent="0.25">
      <c r="A117" t="s">
        <v>233</v>
      </c>
      <c r="B117" t="s">
        <v>115</v>
      </c>
      <c r="C117" s="9">
        <v>4</v>
      </c>
    </row>
    <row r="118" spans="1:3" x14ac:dyDescent="0.25">
      <c r="A118" s="50" t="s">
        <v>233</v>
      </c>
      <c r="B118" s="50" t="s">
        <v>115</v>
      </c>
      <c r="C118" s="51">
        <v>4</v>
      </c>
    </row>
    <row r="119" spans="1:3" x14ac:dyDescent="0.25">
      <c r="A119" t="s">
        <v>200</v>
      </c>
      <c r="B119" t="s">
        <v>201</v>
      </c>
      <c r="C119" s="9">
        <v>8</v>
      </c>
    </row>
  </sheetData>
  <sortState xmlns:xlrd2="http://schemas.microsoft.com/office/spreadsheetml/2017/richdata2" ref="A2:D124">
    <sortCondition ref="A1:A124"/>
  </sortState>
  <phoneticPr fontId="19" type="noConversion"/>
  <conditionalFormatting sqref="A1:A1048576">
    <cfRule type="duplicateValues" dxfId="15" priority="1"/>
  </conditionalFormatting>
  <conditionalFormatting sqref="I5">
    <cfRule type="cellIs" dxfId="14" priority="2" operator="equal">
      <formula>"SXT"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151AD-D236-4F0A-A32F-73B3A50FE525}">
  <dimension ref="A1:AD101"/>
  <sheetViews>
    <sheetView zoomScale="71" zoomScaleNormal="71" workbookViewId="0">
      <selection activeCell="V2" sqref="V2:V19"/>
    </sheetView>
  </sheetViews>
  <sheetFormatPr defaultRowHeight="15" x14ac:dyDescent="0.25"/>
  <cols>
    <col min="1" max="2" width="16.140625" customWidth="1"/>
    <col min="3" max="3" width="10.85546875" bestFit="1" customWidth="1"/>
    <col min="4" max="4" width="8.85546875" style="26" bestFit="1" customWidth="1"/>
    <col min="5" max="5" width="8.85546875" style="26"/>
    <col min="18" max="18" width="9.140625" style="152"/>
    <col min="21" max="21" width="9.140625" style="152"/>
  </cols>
  <sheetData>
    <row r="1" spans="1:30" x14ac:dyDescent="0.25">
      <c r="A1" s="2" t="s">
        <v>0</v>
      </c>
      <c r="B1" s="2" t="s">
        <v>1</v>
      </c>
      <c r="C1" s="16" t="s">
        <v>483</v>
      </c>
      <c r="D1" s="24" t="s">
        <v>313</v>
      </c>
      <c r="E1" s="24" t="s">
        <v>314</v>
      </c>
      <c r="F1" s="25" t="s">
        <v>458</v>
      </c>
      <c r="G1" s="16" t="s">
        <v>459</v>
      </c>
      <c r="H1" s="16" t="s">
        <v>460</v>
      </c>
      <c r="I1" s="17" t="s">
        <v>461</v>
      </c>
      <c r="J1" s="16" t="s">
        <v>462</v>
      </c>
      <c r="K1" s="16" t="s">
        <v>484</v>
      </c>
      <c r="L1" s="16"/>
      <c r="M1" s="16" t="s">
        <v>464</v>
      </c>
      <c r="N1" s="16" t="s">
        <v>465</v>
      </c>
      <c r="O1" s="16" t="s">
        <v>466</v>
      </c>
      <c r="P1" s="16" t="s">
        <v>467</v>
      </c>
      <c r="Q1" s="16" t="s">
        <v>468</v>
      </c>
      <c r="R1" s="17" t="s">
        <v>469</v>
      </c>
      <c r="S1" s="148" t="s">
        <v>890</v>
      </c>
      <c r="T1" s="148" t="s">
        <v>886</v>
      </c>
      <c r="U1" s="152" t="s">
        <v>891</v>
      </c>
      <c r="V1" s="39" t="s">
        <v>487</v>
      </c>
      <c r="W1" s="39"/>
      <c r="Z1" s="25" t="s">
        <v>458</v>
      </c>
      <c r="AA1" s="16" t="s">
        <v>459</v>
      </c>
      <c r="AB1" s="16" t="s">
        <v>460</v>
      </c>
      <c r="AC1" s="17" t="s">
        <v>461</v>
      </c>
    </row>
    <row r="2" spans="1:30" x14ac:dyDescent="0.25">
      <c r="A2" s="33" t="s">
        <v>99</v>
      </c>
      <c r="B2" s="33" t="s">
        <v>362</v>
      </c>
      <c r="C2" s="33" t="s">
        <v>481</v>
      </c>
      <c r="D2" s="92" t="s">
        <v>363</v>
      </c>
      <c r="E2" s="92" t="s">
        <v>363</v>
      </c>
      <c r="F2" s="93">
        <v>130</v>
      </c>
      <c r="G2" s="94">
        <v>10</v>
      </c>
      <c r="H2" s="95">
        <v>130</v>
      </c>
      <c r="I2" s="96">
        <v>10</v>
      </c>
      <c r="J2" s="94">
        <v>1</v>
      </c>
      <c r="K2" s="33" t="s">
        <v>486</v>
      </c>
      <c r="M2" s="93">
        <v>130</v>
      </c>
      <c r="N2" s="95">
        <v>130</v>
      </c>
      <c r="O2" s="74" t="s">
        <v>352</v>
      </c>
      <c r="P2" s="76" t="s">
        <v>352</v>
      </c>
      <c r="Q2" s="58">
        <v>141</v>
      </c>
      <c r="R2" s="149">
        <v>373</v>
      </c>
      <c r="S2" s="148" t="s">
        <v>887</v>
      </c>
      <c r="T2" s="16">
        <f>SUM(J2:J32,J51:J76)</f>
        <v>25</v>
      </c>
      <c r="U2" s="152">
        <f>30/56</f>
        <v>0.5357142857142857</v>
      </c>
      <c r="V2" t="s">
        <v>242</v>
      </c>
      <c r="W2" t="s">
        <v>40</v>
      </c>
      <c r="X2" s="26" t="s">
        <v>116</v>
      </c>
      <c r="Y2" s="26" t="s">
        <v>116</v>
      </c>
    </row>
    <row r="3" spans="1:30" x14ac:dyDescent="0.25">
      <c r="A3" s="33" t="s">
        <v>105</v>
      </c>
      <c r="B3" s="33" t="s">
        <v>332</v>
      </c>
      <c r="C3" s="33" t="s">
        <v>481</v>
      </c>
      <c r="D3" s="92" t="s">
        <v>333</v>
      </c>
      <c r="E3" s="92" t="s">
        <v>334</v>
      </c>
      <c r="F3" s="93" t="s">
        <v>333</v>
      </c>
      <c r="G3" s="94">
        <v>0</v>
      </c>
      <c r="H3" s="95" t="s">
        <v>334</v>
      </c>
      <c r="I3" s="96">
        <v>0</v>
      </c>
      <c r="J3" s="94"/>
      <c r="K3" s="33" t="s">
        <v>486</v>
      </c>
      <c r="M3" s="93" t="s">
        <v>333</v>
      </c>
      <c r="N3" s="95" t="s">
        <v>334</v>
      </c>
      <c r="O3" s="74" t="s">
        <v>347</v>
      </c>
      <c r="P3" s="76" t="s">
        <v>347</v>
      </c>
      <c r="Q3" s="58" t="s">
        <v>398</v>
      </c>
      <c r="R3" s="149" t="s">
        <v>399</v>
      </c>
      <c r="S3" t="s">
        <v>888</v>
      </c>
      <c r="T3" s="16">
        <f>SUM(J45:J46,J78:J101,J77)</f>
        <v>26</v>
      </c>
      <c r="U3" s="152">
        <f>T3/27</f>
        <v>0.96296296296296291</v>
      </c>
      <c r="V3" t="s">
        <v>33</v>
      </c>
      <c r="W3" t="s">
        <v>327</v>
      </c>
      <c r="X3" s="24" t="s">
        <v>34</v>
      </c>
      <c r="Y3" s="26" t="s">
        <v>116</v>
      </c>
    </row>
    <row r="4" spans="1:30" x14ac:dyDescent="0.25">
      <c r="A4" s="33" t="s">
        <v>88</v>
      </c>
      <c r="B4" s="33" t="s">
        <v>332</v>
      </c>
      <c r="C4" s="33" t="s">
        <v>481</v>
      </c>
      <c r="D4" s="92" t="s">
        <v>361</v>
      </c>
      <c r="E4" s="92" t="s">
        <v>334</v>
      </c>
      <c r="F4" s="93">
        <f>MEDIAN(0.93,2.33)</f>
        <v>1.63</v>
      </c>
      <c r="G4" s="94">
        <f>(2.33-0.93)/2</f>
        <v>0.7</v>
      </c>
      <c r="H4" s="95" t="s">
        <v>334</v>
      </c>
      <c r="I4" s="96">
        <v>30</v>
      </c>
      <c r="J4" s="94"/>
      <c r="K4" s="33" t="s">
        <v>486</v>
      </c>
      <c r="M4" s="93">
        <v>1.63</v>
      </c>
      <c r="N4" s="95" t="s">
        <v>334</v>
      </c>
      <c r="O4" s="18">
        <v>50</v>
      </c>
      <c r="P4" s="19">
        <v>50</v>
      </c>
      <c r="Q4" s="58" t="s">
        <v>438</v>
      </c>
      <c r="R4" s="149" t="s">
        <v>390</v>
      </c>
      <c r="S4" t="s">
        <v>889</v>
      </c>
      <c r="T4" s="16">
        <f>SUM(J33:J43,J47:J50)</f>
        <v>0</v>
      </c>
      <c r="U4" s="152">
        <f>T4/16</f>
        <v>0</v>
      </c>
      <c r="V4" t="s">
        <v>185</v>
      </c>
      <c r="W4" t="s">
        <v>6</v>
      </c>
      <c r="X4" s="24" t="s">
        <v>116</v>
      </c>
      <c r="Y4" s="26" t="s">
        <v>328</v>
      </c>
      <c r="AB4">
        <v>150</v>
      </c>
      <c r="AC4">
        <v>50</v>
      </c>
      <c r="AD4" s="31" t="s">
        <v>473</v>
      </c>
    </row>
    <row r="5" spans="1:30" x14ac:dyDescent="0.25">
      <c r="A5" s="33" t="s">
        <v>187</v>
      </c>
      <c r="B5" s="33" t="s">
        <v>332</v>
      </c>
      <c r="C5" s="33" t="s">
        <v>481</v>
      </c>
      <c r="D5" s="92" t="s">
        <v>364</v>
      </c>
      <c r="E5" s="92" t="s">
        <v>364</v>
      </c>
      <c r="F5" s="93" t="s">
        <v>364</v>
      </c>
      <c r="G5" s="94">
        <v>0</v>
      </c>
      <c r="H5" s="95" t="s">
        <v>364</v>
      </c>
      <c r="I5" s="96">
        <v>0</v>
      </c>
      <c r="J5" s="94">
        <v>1</v>
      </c>
      <c r="K5" s="33" t="s">
        <v>486</v>
      </c>
      <c r="M5" s="93" t="s">
        <v>364</v>
      </c>
      <c r="N5" s="95" t="s">
        <v>364</v>
      </c>
      <c r="O5" s="18">
        <v>60</v>
      </c>
      <c r="P5" s="19">
        <v>60</v>
      </c>
      <c r="Q5" s="58" t="s">
        <v>438</v>
      </c>
      <c r="R5" s="149" t="s">
        <v>390</v>
      </c>
      <c r="V5" t="s">
        <v>148</v>
      </c>
      <c r="W5" t="s">
        <v>40</v>
      </c>
      <c r="X5" s="24" t="s">
        <v>116</v>
      </c>
      <c r="Y5" s="26">
        <v>25</v>
      </c>
      <c r="AD5" s="30" t="s">
        <v>472</v>
      </c>
    </row>
    <row r="6" spans="1:30" x14ac:dyDescent="0.25">
      <c r="A6" s="33" t="s">
        <v>189</v>
      </c>
      <c r="B6" s="33" t="s">
        <v>407</v>
      </c>
      <c r="C6" s="33" t="s">
        <v>481</v>
      </c>
      <c r="D6" s="92" t="s">
        <v>408</v>
      </c>
      <c r="E6" s="92" t="s">
        <v>408</v>
      </c>
      <c r="F6" s="93">
        <v>17.5</v>
      </c>
      <c r="G6" s="94">
        <v>2.5</v>
      </c>
      <c r="H6" s="95">
        <v>17.5</v>
      </c>
      <c r="I6" s="96">
        <v>2.5</v>
      </c>
      <c r="J6" s="94"/>
      <c r="K6" s="33" t="s">
        <v>486</v>
      </c>
      <c r="M6" s="93">
        <v>17.5</v>
      </c>
      <c r="N6" s="95">
        <v>17.5</v>
      </c>
      <c r="O6" s="18">
        <v>50</v>
      </c>
      <c r="P6" s="19">
        <v>50</v>
      </c>
      <c r="Q6" s="58" t="s">
        <v>438</v>
      </c>
      <c r="R6" s="149" t="s">
        <v>390</v>
      </c>
      <c r="V6" t="s">
        <v>114</v>
      </c>
      <c r="W6" t="s">
        <v>115</v>
      </c>
      <c r="X6" s="24" t="s">
        <v>116</v>
      </c>
      <c r="Y6" s="26" t="s">
        <v>116</v>
      </c>
    </row>
    <row r="7" spans="1:30" x14ac:dyDescent="0.25">
      <c r="A7" s="36" t="s">
        <v>256</v>
      </c>
      <c r="B7" s="36" t="s">
        <v>257</v>
      </c>
      <c r="C7" s="36" t="s">
        <v>478</v>
      </c>
      <c r="D7" s="89" t="s">
        <v>376</v>
      </c>
      <c r="E7" s="89" t="s">
        <v>355</v>
      </c>
      <c r="F7" s="102" t="s">
        <v>376</v>
      </c>
      <c r="G7" s="90">
        <v>0</v>
      </c>
      <c r="H7" s="91" t="s">
        <v>355</v>
      </c>
      <c r="I7" s="103">
        <v>0</v>
      </c>
      <c r="J7" s="90"/>
      <c r="K7" s="36" t="s">
        <v>486</v>
      </c>
      <c r="M7" s="102" t="s">
        <v>376</v>
      </c>
      <c r="N7" s="91" t="s">
        <v>355</v>
      </c>
      <c r="O7" s="18" t="s">
        <v>336</v>
      </c>
      <c r="P7" s="19" t="s">
        <v>336</v>
      </c>
      <c r="Q7" s="58" t="s">
        <v>438</v>
      </c>
      <c r="R7" s="149" t="s">
        <v>390</v>
      </c>
      <c r="V7" t="s">
        <v>95</v>
      </c>
      <c r="W7" t="s">
        <v>332</v>
      </c>
      <c r="X7" s="24" t="s">
        <v>116</v>
      </c>
      <c r="Y7" s="26" t="s">
        <v>357</v>
      </c>
      <c r="AB7">
        <f>MEDIAN(70,200)</f>
        <v>135</v>
      </c>
      <c r="AC7">
        <f>200-135</f>
        <v>65</v>
      </c>
      <c r="AD7" s="33" t="s">
        <v>481</v>
      </c>
    </row>
    <row r="8" spans="1:30" x14ac:dyDescent="0.25">
      <c r="A8" s="30" t="s">
        <v>168</v>
      </c>
      <c r="B8" s="30" t="s">
        <v>40</v>
      </c>
      <c r="C8" s="30" t="s">
        <v>472</v>
      </c>
      <c r="D8" s="83" t="s">
        <v>337</v>
      </c>
      <c r="E8" s="83" t="s">
        <v>337</v>
      </c>
      <c r="F8" s="87" t="s">
        <v>337</v>
      </c>
      <c r="G8" s="86">
        <v>0</v>
      </c>
      <c r="H8" s="84" t="s">
        <v>337</v>
      </c>
      <c r="I8" s="85">
        <v>0</v>
      </c>
      <c r="J8" s="86">
        <v>1</v>
      </c>
      <c r="K8" s="30" t="s">
        <v>486</v>
      </c>
      <c r="M8" s="87" t="s">
        <v>337</v>
      </c>
      <c r="N8" s="84" t="s">
        <v>337</v>
      </c>
      <c r="O8" s="18">
        <v>38.25</v>
      </c>
      <c r="P8" s="19">
        <v>38.25</v>
      </c>
      <c r="Q8" s="58" t="s">
        <v>389</v>
      </c>
      <c r="R8" s="149" t="s">
        <v>390</v>
      </c>
      <c r="V8" t="s">
        <v>99</v>
      </c>
      <c r="W8" t="s">
        <v>59</v>
      </c>
      <c r="X8" s="24" t="s">
        <v>116</v>
      </c>
      <c r="Y8" s="26" t="s">
        <v>116</v>
      </c>
    </row>
    <row r="9" spans="1:30" x14ac:dyDescent="0.25">
      <c r="A9" s="30" t="s">
        <v>108</v>
      </c>
      <c r="B9" s="30" t="s">
        <v>40</v>
      </c>
      <c r="C9" s="30" t="s">
        <v>472</v>
      </c>
      <c r="D9" s="83" t="s">
        <v>337</v>
      </c>
      <c r="E9" s="83" t="s">
        <v>339</v>
      </c>
      <c r="F9" s="87" t="s">
        <v>337</v>
      </c>
      <c r="G9" s="86">
        <v>0</v>
      </c>
      <c r="H9" s="84" t="s">
        <v>339</v>
      </c>
      <c r="I9" s="85">
        <v>0</v>
      </c>
      <c r="J9" s="86">
        <v>1</v>
      </c>
      <c r="K9" s="30" t="s">
        <v>486</v>
      </c>
      <c r="M9" s="87" t="s">
        <v>337</v>
      </c>
      <c r="N9" s="84" t="s">
        <v>339</v>
      </c>
      <c r="O9" s="18">
        <v>38.25</v>
      </c>
      <c r="P9" s="19">
        <v>38.25</v>
      </c>
      <c r="Q9" s="58" t="s">
        <v>389</v>
      </c>
      <c r="R9" s="149" t="s">
        <v>390</v>
      </c>
      <c r="V9" t="s">
        <v>22</v>
      </c>
      <c r="W9" t="s">
        <v>330</v>
      </c>
      <c r="X9" s="24" t="s">
        <v>116</v>
      </c>
      <c r="Y9" s="26" t="s">
        <v>116</v>
      </c>
      <c r="AB9">
        <f>MEDIAN(70,150)</f>
        <v>110</v>
      </c>
      <c r="AC9">
        <v>40</v>
      </c>
      <c r="AD9" s="32" t="s">
        <v>474</v>
      </c>
    </row>
    <row r="10" spans="1:30" x14ac:dyDescent="0.25">
      <c r="A10" s="30" t="s">
        <v>39</v>
      </c>
      <c r="B10" s="30" t="s">
        <v>40</v>
      </c>
      <c r="C10" s="30" t="s">
        <v>472</v>
      </c>
      <c r="D10" s="83" t="s">
        <v>349</v>
      </c>
      <c r="E10" s="83" t="s">
        <v>349</v>
      </c>
      <c r="F10" s="87">
        <v>9</v>
      </c>
      <c r="G10" s="86">
        <v>1</v>
      </c>
      <c r="H10" s="84">
        <v>9</v>
      </c>
      <c r="I10" s="85">
        <v>1</v>
      </c>
      <c r="J10" s="86">
        <v>1</v>
      </c>
      <c r="K10" s="30" t="s">
        <v>486</v>
      </c>
      <c r="M10" s="87">
        <v>9</v>
      </c>
      <c r="N10" s="84">
        <v>9</v>
      </c>
      <c r="O10" s="18">
        <v>19.899999999999999</v>
      </c>
      <c r="P10" s="19">
        <v>19.899999999999999</v>
      </c>
      <c r="Q10" s="58" t="s">
        <v>389</v>
      </c>
      <c r="R10" s="149" t="s">
        <v>390</v>
      </c>
      <c r="V10" t="s">
        <v>220</v>
      </c>
      <c r="W10" t="s">
        <v>115</v>
      </c>
      <c r="X10" s="26" t="s">
        <v>116</v>
      </c>
      <c r="Y10" s="26" t="s">
        <v>383</v>
      </c>
      <c r="AB10">
        <f>MEDIAN(70,150)</f>
        <v>110</v>
      </c>
      <c r="AC10">
        <v>40</v>
      </c>
      <c r="AD10" s="32" t="s">
        <v>474</v>
      </c>
    </row>
    <row r="11" spans="1:30" x14ac:dyDescent="0.25">
      <c r="A11" s="30" t="s">
        <v>32</v>
      </c>
      <c r="B11" s="30" t="s">
        <v>40</v>
      </c>
      <c r="C11" s="30" t="s">
        <v>472</v>
      </c>
      <c r="D11" s="83" t="s">
        <v>353</v>
      </c>
      <c r="E11" s="83" t="s">
        <v>337</v>
      </c>
      <c r="F11" s="87" t="s">
        <v>353</v>
      </c>
      <c r="G11" s="86">
        <v>0</v>
      </c>
      <c r="H11" s="84" t="s">
        <v>337</v>
      </c>
      <c r="I11" s="85">
        <v>0</v>
      </c>
      <c r="J11" s="86"/>
      <c r="K11" s="30" t="s">
        <v>486</v>
      </c>
      <c r="M11" s="87" t="s">
        <v>353</v>
      </c>
      <c r="N11" s="84" t="s">
        <v>337</v>
      </c>
      <c r="O11" s="18" t="s">
        <v>355</v>
      </c>
      <c r="P11" s="19" t="s">
        <v>355</v>
      </c>
      <c r="Q11" s="58" t="s">
        <v>389</v>
      </c>
      <c r="R11" s="149" t="s">
        <v>390</v>
      </c>
      <c r="V11" s="50" t="s">
        <v>220</v>
      </c>
      <c r="W11" s="50" t="s">
        <v>115</v>
      </c>
      <c r="X11" s="26" t="s">
        <v>116</v>
      </c>
      <c r="Y11" s="26" t="s">
        <v>383</v>
      </c>
      <c r="AB11">
        <v>113.5</v>
      </c>
      <c r="AC11">
        <v>0</v>
      </c>
      <c r="AD11" s="30" t="s">
        <v>472</v>
      </c>
    </row>
    <row r="12" spans="1:30" x14ac:dyDescent="0.25">
      <c r="A12" s="30" t="s">
        <v>171</v>
      </c>
      <c r="B12" s="30" t="s">
        <v>40</v>
      </c>
      <c r="C12" s="30" t="s">
        <v>472</v>
      </c>
      <c r="D12" s="83" t="s">
        <v>337</v>
      </c>
      <c r="E12" s="83" t="s">
        <v>337</v>
      </c>
      <c r="F12" s="87" t="s">
        <v>337</v>
      </c>
      <c r="G12" s="86">
        <v>0</v>
      </c>
      <c r="H12" s="84" t="s">
        <v>337</v>
      </c>
      <c r="I12" s="85">
        <v>0</v>
      </c>
      <c r="J12" s="86">
        <v>1</v>
      </c>
      <c r="K12" s="30" t="s">
        <v>486</v>
      </c>
      <c r="M12" s="87" t="s">
        <v>337</v>
      </c>
      <c r="N12" s="84" t="s">
        <v>337</v>
      </c>
      <c r="O12" s="18">
        <v>40</v>
      </c>
      <c r="P12" s="19">
        <v>40</v>
      </c>
      <c r="Q12" s="58">
        <v>334.5</v>
      </c>
      <c r="R12" s="149">
        <v>798</v>
      </c>
      <c r="V12" t="s">
        <v>123</v>
      </c>
      <c r="W12" t="s">
        <v>40</v>
      </c>
      <c r="X12" s="24" t="s">
        <v>116</v>
      </c>
      <c r="Y12" s="26" t="s">
        <v>401</v>
      </c>
      <c r="AB12">
        <v>70</v>
      </c>
      <c r="AC12">
        <v>10</v>
      </c>
      <c r="AD12" s="33" t="s">
        <v>481</v>
      </c>
    </row>
    <row r="13" spans="1:30" x14ac:dyDescent="0.25">
      <c r="A13" s="30" t="s">
        <v>51</v>
      </c>
      <c r="B13" s="30" t="s">
        <v>40</v>
      </c>
      <c r="C13" s="30" t="s">
        <v>472</v>
      </c>
      <c r="D13" s="83" t="s">
        <v>393</v>
      </c>
      <c r="E13" s="83" t="s">
        <v>394</v>
      </c>
      <c r="F13" s="87" t="s">
        <v>393</v>
      </c>
      <c r="G13" s="86">
        <v>0</v>
      </c>
      <c r="H13" s="84" t="s">
        <v>394</v>
      </c>
      <c r="I13" s="85">
        <v>0</v>
      </c>
      <c r="J13" s="86"/>
      <c r="K13" s="30" t="s">
        <v>486</v>
      </c>
      <c r="M13" s="87" t="s">
        <v>393</v>
      </c>
      <c r="N13" s="84" t="s">
        <v>394</v>
      </c>
      <c r="O13" s="18">
        <v>60</v>
      </c>
      <c r="P13" s="19">
        <v>60</v>
      </c>
      <c r="Q13" s="58">
        <v>85</v>
      </c>
      <c r="R13" s="149">
        <v>97.5</v>
      </c>
      <c r="V13" t="s">
        <v>217</v>
      </c>
      <c r="W13" t="s">
        <v>409</v>
      </c>
      <c r="X13" s="24" t="s">
        <v>116</v>
      </c>
      <c r="Y13" s="26" t="s">
        <v>410</v>
      </c>
    </row>
    <row r="14" spans="1:30" x14ac:dyDescent="0.25">
      <c r="A14" s="30" t="s">
        <v>128</v>
      </c>
      <c r="B14" s="30" t="s">
        <v>40</v>
      </c>
      <c r="C14" s="30" t="s">
        <v>472</v>
      </c>
      <c r="D14" s="83" t="s">
        <v>397</v>
      </c>
      <c r="E14" s="83" t="s">
        <v>397</v>
      </c>
      <c r="F14" s="87">
        <f>MEDIAN(3.5,6.07)</f>
        <v>4.7850000000000001</v>
      </c>
      <c r="G14" s="86">
        <f>(6.07-3.5)/2</f>
        <v>1.2850000000000001</v>
      </c>
      <c r="H14" s="84">
        <f>MEDIAN(3.5,6.07)</f>
        <v>4.7850000000000001</v>
      </c>
      <c r="I14" s="85">
        <f>(6.07-3.5)/2</f>
        <v>1.2850000000000001</v>
      </c>
      <c r="J14" s="86">
        <v>1</v>
      </c>
      <c r="K14" s="30" t="s">
        <v>486</v>
      </c>
      <c r="M14" s="87">
        <v>4.7850000000000001</v>
      </c>
      <c r="N14" s="84">
        <v>4.7850000000000001</v>
      </c>
      <c r="O14" s="18" t="s">
        <v>387</v>
      </c>
      <c r="P14" s="19" t="s">
        <v>387</v>
      </c>
      <c r="Q14" s="55" t="s">
        <v>355</v>
      </c>
      <c r="R14" s="150" t="s">
        <v>425</v>
      </c>
      <c r="V14" t="s">
        <v>145</v>
      </c>
      <c r="W14" t="s">
        <v>115</v>
      </c>
      <c r="X14" s="24" t="s">
        <v>116</v>
      </c>
      <c r="Y14" s="26" t="s">
        <v>116</v>
      </c>
    </row>
    <row r="15" spans="1:30" x14ac:dyDescent="0.25">
      <c r="A15" s="30" t="s">
        <v>64</v>
      </c>
      <c r="B15" s="30" t="s">
        <v>40</v>
      </c>
      <c r="C15" s="30" t="s">
        <v>472</v>
      </c>
      <c r="D15" s="83" t="s">
        <v>337</v>
      </c>
      <c r="E15" s="83" t="s">
        <v>337</v>
      </c>
      <c r="F15" s="87" t="s">
        <v>337</v>
      </c>
      <c r="G15" s="86">
        <v>0</v>
      </c>
      <c r="H15" s="84" t="s">
        <v>337</v>
      </c>
      <c r="I15" s="85">
        <v>0</v>
      </c>
      <c r="J15" s="86">
        <v>1</v>
      </c>
      <c r="K15" s="30" t="s">
        <v>486</v>
      </c>
      <c r="M15" s="87" t="s">
        <v>337</v>
      </c>
      <c r="N15" s="84" t="s">
        <v>337</v>
      </c>
      <c r="O15" s="18">
        <v>30</v>
      </c>
      <c r="P15" s="19">
        <v>30</v>
      </c>
      <c r="Q15" s="55">
        <v>110</v>
      </c>
      <c r="R15" s="150">
        <v>365</v>
      </c>
      <c r="V15" t="s">
        <v>224</v>
      </c>
      <c r="W15" t="s">
        <v>40</v>
      </c>
      <c r="X15" s="27" t="s">
        <v>225</v>
      </c>
      <c r="Y15" s="28" t="s">
        <v>457</v>
      </c>
      <c r="AB15">
        <v>80</v>
      </c>
      <c r="AC15" s="17">
        <v>0</v>
      </c>
      <c r="AD15" s="32" t="s">
        <v>474</v>
      </c>
    </row>
    <row r="16" spans="1:30" x14ac:dyDescent="0.25">
      <c r="A16" s="30" t="s">
        <v>259</v>
      </c>
      <c r="B16" s="30" t="s">
        <v>40</v>
      </c>
      <c r="C16" s="30" t="s">
        <v>472</v>
      </c>
      <c r="D16" s="83" t="s">
        <v>402</v>
      </c>
      <c r="E16" s="83" t="s">
        <v>402</v>
      </c>
      <c r="F16" s="87" t="s">
        <v>402</v>
      </c>
      <c r="G16" s="86">
        <v>0</v>
      </c>
      <c r="H16" s="84" t="s">
        <v>402</v>
      </c>
      <c r="I16" s="85">
        <v>0</v>
      </c>
      <c r="J16" s="86">
        <v>1</v>
      </c>
      <c r="K16" s="30" t="s">
        <v>486</v>
      </c>
      <c r="M16" s="87" t="s">
        <v>402</v>
      </c>
      <c r="N16" s="84" t="s">
        <v>402</v>
      </c>
      <c r="O16" s="18" t="s">
        <v>352</v>
      </c>
      <c r="P16" s="19" t="s">
        <v>352</v>
      </c>
      <c r="Q16" s="55">
        <v>301</v>
      </c>
      <c r="R16" s="150">
        <v>266</v>
      </c>
      <c r="V16" t="s">
        <v>233</v>
      </c>
      <c r="W16" t="s">
        <v>40</v>
      </c>
      <c r="X16" s="24" t="s">
        <v>116</v>
      </c>
      <c r="Y16" s="26" t="s">
        <v>412</v>
      </c>
      <c r="AB16">
        <v>80</v>
      </c>
      <c r="AC16" s="17">
        <v>0</v>
      </c>
    </row>
    <row r="17" spans="1:30" x14ac:dyDescent="0.25">
      <c r="A17" s="30" t="s">
        <v>125</v>
      </c>
      <c r="B17" s="30" t="s">
        <v>40</v>
      </c>
      <c r="C17" s="30" t="s">
        <v>472</v>
      </c>
      <c r="D17" s="83" t="s">
        <v>405</v>
      </c>
      <c r="E17" s="83" t="s">
        <v>405</v>
      </c>
      <c r="F17" s="87" t="s">
        <v>405</v>
      </c>
      <c r="G17" s="86">
        <v>0</v>
      </c>
      <c r="H17" s="84" t="s">
        <v>405</v>
      </c>
      <c r="I17" s="85">
        <v>0</v>
      </c>
      <c r="J17" s="86">
        <v>1</v>
      </c>
      <c r="K17" s="30" t="s">
        <v>486</v>
      </c>
      <c r="M17" s="87" t="s">
        <v>405</v>
      </c>
      <c r="N17" s="84" t="s">
        <v>405</v>
      </c>
      <c r="O17" s="18" t="s">
        <v>352</v>
      </c>
      <c r="P17" s="19" t="s">
        <v>352</v>
      </c>
      <c r="Q17" s="55">
        <v>301</v>
      </c>
      <c r="R17" s="151">
        <v>266</v>
      </c>
      <c r="V17" s="50" t="s">
        <v>233</v>
      </c>
      <c r="W17" s="50" t="s">
        <v>40</v>
      </c>
      <c r="X17" s="24" t="s">
        <v>116</v>
      </c>
      <c r="Y17" s="26" t="s">
        <v>412</v>
      </c>
      <c r="AB17">
        <v>80</v>
      </c>
      <c r="AC17" s="17">
        <v>0</v>
      </c>
      <c r="AD17" s="32" t="s">
        <v>474</v>
      </c>
    </row>
    <row r="18" spans="1:30" x14ac:dyDescent="0.25">
      <c r="A18" s="30" t="s">
        <v>152</v>
      </c>
      <c r="B18" s="30" t="s">
        <v>40</v>
      </c>
      <c r="C18" s="30" t="s">
        <v>472</v>
      </c>
      <c r="D18" s="83" t="s">
        <v>404</v>
      </c>
      <c r="E18" s="83" t="s">
        <v>352</v>
      </c>
      <c r="F18" s="87" t="s">
        <v>404</v>
      </c>
      <c r="G18" s="86">
        <v>0</v>
      </c>
      <c r="H18" s="84" t="s">
        <v>352</v>
      </c>
      <c r="I18" s="85">
        <v>0</v>
      </c>
      <c r="J18" s="86"/>
      <c r="K18" s="30" t="s">
        <v>486</v>
      </c>
      <c r="M18" s="87" t="s">
        <v>404</v>
      </c>
      <c r="N18" s="84" t="s">
        <v>352</v>
      </c>
      <c r="O18" s="18" t="s">
        <v>387</v>
      </c>
      <c r="P18" s="19" t="s">
        <v>387</v>
      </c>
      <c r="V18" t="s">
        <v>233</v>
      </c>
      <c r="W18" t="s">
        <v>115</v>
      </c>
      <c r="X18" s="24" t="s">
        <v>116</v>
      </c>
      <c r="Y18" s="26" t="s">
        <v>412</v>
      </c>
      <c r="AB18">
        <v>80</v>
      </c>
      <c r="AC18" s="17">
        <v>0</v>
      </c>
    </row>
    <row r="19" spans="1:30" x14ac:dyDescent="0.25">
      <c r="A19" s="30" t="s">
        <v>91</v>
      </c>
      <c r="B19" s="30" t="s">
        <v>40</v>
      </c>
      <c r="C19" s="30" t="s">
        <v>472</v>
      </c>
      <c r="D19" s="83" t="s">
        <v>404</v>
      </c>
      <c r="E19" s="83" t="s">
        <v>404</v>
      </c>
      <c r="F19" s="87" t="s">
        <v>404</v>
      </c>
      <c r="G19" s="86">
        <v>0</v>
      </c>
      <c r="H19" s="84" t="s">
        <v>404</v>
      </c>
      <c r="I19" s="85">
        <v>0</v>
      </c>
      <c r="J19" s="86">
        <v>1</v>
      </c>
      <c r="K19" s="30" t="s">
        <v>486</v>
      </c>
      <c r="M19" s="87" t="s">
        <v>404</v>
      </c>
      <c r="N19" s="84" t="s">
        <v>404</v>
      </c>
      <c r="O19" s="19" t="s">
        <v>352</v>
      </c>
      <c r="P19" s="19" t="s">
        <v>352</v>
      </c>
      <c r="V19" s="50" t="s">
        <v>233</v>
      </c>
      <c r="W19" s="50" t="s">
        <v>115</v>
      </c>
      <c r="X19" s="24" t="s">
        <v>116</v>
      </c>
      <c r="Y19" s="26" t="s">
        <v>412</v>
      </c>
    </row>
    <row r="20" spans="1:30" x14ac:dyDescent="0.25">
      <c r="A20" s="30" t="s">
        <v>222</v>
      </c>
      <c r="B20" s="30" t="s">
        <v>40</v>
      </c>
      <c r="C20" s="30" t="s">
        <v>472</v>
      </c>
      <c r="D20" s="83" t="s">
        <v>359</v>
      </c>
      <c r="E20" s="83" t="s">
        <v>371</v>
      </c>
      <c r="F20" s="87" t="s">
        <v>359</v>
      </c>
      <c r="G20" s="86">
        <v>0</v>
      </c>
      <c r="H20" s="84" t="s">
        <v>371</v>
      </c>
      <c r="I20" s="85">
        <v>0</v>
      </c>
      <c r="J20" s="86"/>
      <c r="K20" s="30" t="s">
        <v>486</v>
      </c>
      <c r="M20" s="87" t="s">
        <v>359</v>
      </c>
      <c r="N20" s="84" t="s">
        <v>371</v>
      </c>
      <c r="O20" s="19" t="s">
        <v>352</v>
      </c>
      <c r="P20" s="19" t="s">
        <v>352</v>
      </c>
    </row>
    <row r="21" spans="1:30" x14ac:dyDescent="0.25">
      <c r="A21" s="30" t="s">
        <v>311</v>
      </c>
      <c r="B21" s="30" t="s">
        <v>40</v>
      </c>
      <c r="C21" s="30" t="s">
        <v>472</v>
      </c>
      <c r="D21" s="83" t="s">
        <v>432</v>
      </c>
      <c r="E21" s="83" t="s">
        <v>432</v>
      </c>
      <c r="F21" s="87">
        <v>7.5</v>
      </c>
      <c r="G21" s="86">
        <v>2.5</v>
      </c>
      <c r="H21" s="84">
        <v>7.5</v>
      </c>
      <c r="I21" s="85">
        <v>2.5</v>
      </c>
      <c r="J21" s="86">
        <v>1</v>
      </c>
      <c r="K21" s="30" t="s">
        <v>486</v>
      </c>
      <c r="M21" s="87">
        <v>7.5</v>
      </c>
      <c r="N21" s="84">
        <v>7.5</v>
      </c>
      <c r="O21" s="18" t="s">
        <v>371</v>
      </c>
      <c r="P21" s="19" t="s">
        <v>371</v>
      </c>
    </row>
    <row r="22" spans="1:30" x14ac:dyDescent="0.25">
      <c r="A22" s="30" t="s">
        <v>311</v>
      </c>
      <c r="B22" s="30" t="s">
        <v>40</v>
      </c>
      <c r="C22" s="30" t="s">
        <v>472</v>
      </c>
      <c r="D22" s="83" t="s">
        <v>432</v>
      </c>
      <c r="E22" s="83" t="s">
        <v>432</v>
      </c>
      <c r="F22" s="87">
        <v>6</v>
      </c>
      <c r="G22" s="86">
        <v>2</v>
      </c>
      <c r="H22" s="84">
        <v>6</v>
      </c>
      <c r="I22" s="85">
        <v>2</v>
      </c>
      <c r="J22" s="86">
        <v>1</v>
      </c>
      <c r="K22" s="30" t="s">
        <v>486</v>
      </c>
      <c r="M22" s="87">
        <v>6</v>
      </c>
      <c r="N22" s="84">
        <v>6</v>
      </c>
      <c r="O22" s="18" t="s">
        <v>352</v>
      </c>
      <c r="P22" s="19" t="s">
        <v>352</v>
      </c>
    </row>
    <row r="23" spans="1:30" x14ac:dyDescent="0.25">
      <c r="A23" s="30" t="s">
        <v>311</v>
      </c>
      <c r="B23" s="30" t="s">
        <v>40</v>
      </c>
      <c r="C23" s="30" t="s">
        <v>472</v>
      </c>
      <c r="D23" s="83" t="s">
        <v>432</v>
      </c>
      <c r="E23" s="83" t="s">
        <v>432</v>
      </c>
      <c r="F23" s="87">
        <v>6</v>
      </c>
      <c r="G23" s="86">
        <v>2</v>
      </c>
      <c r="H23" s="84">
        <v>6</v>
      </c>
      <c r="I23" s="85">
        <v>2</v>
      </c>
      <c r="J23" s="86">
        <v>1</v>
      </c>
      <c r="K23" s="30" t="s">
        <v>486</v>
      </c>
      <c r="M23" s="87">
        <v>6</v>
      </c>
      <c r="N23" s="84">
        <v>6</v>
      </c>
      <c r="O23" s="18" t="s">
        <v>352</v>
      </c>
      <c r="P23" s="19" t="s">
        <v>352</v>
      </c>
    </row>
    <row r="24" spans="1:30" x14ac:dyDescent="0.25">
      <c r="A24" s="30" t="s">
        <v>311</v>
      </c>
      <c r="B24" s="30" t="s">
        <v>40</v>
      </c>
      <c r="C24" s="30" t="s">
        <v>472</v>
      </c>
      <c r="D24" s="83" t="s">
        <v>432</v>
      </c>
      <c r="E24" s="83" t="s">
        <v>432</v>
      </c>
      <c r="F24" s="87">
        <v>6</v>
      </c>
      <c r="G24" s="86">
        <v>2</v>
      </c>
      <c r="H24" s="84">
        <v>6</v>
      </c>
      <c r="I24" s="85">
        <v>2</v>
      </c>
      <c r="J24" s="86">
        <v>1</v>
      </c>
      <c r="K24" s="30" t="s">
        <v>486</v>
      </c>
      <c r="M24" s="87">
        <v>6</v>
      </c>
      <c r="N24" s="84">
        <v>6</v>
      </c>
      <c r="O24" s="18" t="s">
        <v>387</v>
      </c>
      <c r="P24" s="19" t="s">
        <v>387</v>
      </c>
    </row>
    <row r="25" spans="1:30" x14ac:dyDescent="0.25">
      <c r="A25" s="30" t="s">
        <v>311</v>
      </c>
      <c r="B25" s="30" t="s">
        <v>40</v>
      </c>
      <c r="C25" s="30" t="s">
        <v>472</v>
      </c>
      <c r="D25" s="83" t="s">
        <v>432</v>
      </c>
      <c r="E25" s="83" t="s">
        <v>432</v>
      </c>
      <c r="F25" s="87">
        <v>6</v>
      </c>
      <c r="G25" s="86">
        <v>2</v>
      </c>
      <c r="H25" s="84">
        <v>6</v>
      </c>
      <c r="I25" s="85">
        <v>2</v>
      </c>
      <c r="J25" s="86">
        <v>1</v>
      </c>
      <c r="K25" s="30" t="s">
        <v>486</v>
      </c>
      <c r="M25" s="87">
        <v>6</v>
      </c>
      <c r="N25" s="84">
        <v>6</v>
      </c>
      <c r="O25" s="18">
        <v>30</v>
      </c>
      <c r="P25" s="19" t="s">
        <v>336</v>
      </c>
    </row>
    <row r="26" spans="1:30" x14ac:dyDescent="0.25">
      <c r="A26" s="30" t="s">
        <v>311</v>
      </c>
      <c r="B26" s="30" t="s">
        <v>40</v>
      </c>
      <c r="C26" s="30" t="s">
        <v>472</v>
      </c>
      <c r="D26" s="83" t="s">
        <v>432</v>
      </c>
      <c r="E26" s="83" t="s">
        <v>432</v>
      </c>
      <c r="F26" s="87">
        <v>6</v>
      </c>
      <c r="G26" s="86">
        <v>2</v>
      </c>
      <c r="H26" s="84">
        <v>6</v>
      </c>
      <c r="I26" s="85">
        <v>2</v>
      </c>
      <c r="J26" s="86">
        <v>1</v>
      </c>
      <c r="K26" s="30" t="s">
        <v>486</v>
      </c>
      <c r="M26" s="87">
        <v>6</v>
      </c>
      <c r="N26" s="84">
        <v>6</v>
      </c>
      <c r="O26" s="98">
        <v>55</v>
      </c>
      <c r="P26" s="100">
        <v>55</v>
      </c>
    </row>
    <row r="27" spans="1:30" x14ac:dyDescent="0.25">
      <c r="A27" s="30" t="s">
        <v>311</v>
      </c>
      <c r="B27" s="30" t="s">
        <v>40</v>
      </c>
      <c r="C27" s="30" t="s">
        <v>472</v>
      </c>
      <c r="D27" s="83" t="s">
        <v>432</v>
      </c>
      <c r="E27" s="83" t="s">
        <v>432</v>
      </c>
      <c r="F27" s="87">
        <v>6</v>
      </c>
      <c r="G27" s="86">
        <v>2</v>
      </c>
      <c r="H27" s="84">
        <v>6</v>
      </c>
      <c r="I27" s="85">
        <v>2</v>
      </c>
      <c r="J27" s="86">
        <v>1</v>
      </c>
      <c r="K27" s="30" t="s">
        <v>486</v>
      </c>
      <c r="M27" s="87">
        <v>6</v>
      </c>
      <c r="N27" s="84">
        <v>6</v>
      </c>
      <c r="O27" s="98">
        <v>86.5</v>
      </c>
      <c r="P27" s="100">
        <v>86.5</v>
      </c>
    </row>
    <row r="28" spans="1:30" x14ac:dyDescent="0.25">
      <c r="A28" s="30" t="s">
        <v>310</v>
      </c>
      <c r="B28" s="30" t="s">
        <v>40</v>
      </c>
      <c r="C28" s="30" t="s">
        <v>472</v>
      </c>
      <c r="D28" s="83" t="s">
        <v>428</v>
      </c>
      <c r="E28" s="83" t="s">
        <v>428</v>
      </c>
      <c r="F28" s="87">
        <v>6</v>
      </c>
      <c r="G28" s="86">
        <v>2</v>
      </c>
      <c r="H28" s="84">
        <v>6</v>
      </c>
      <c r="I28" s="85">
        <v>2</v>
      </c>
      <c r="J28" s="86">
        <v>1</v>
      </c>
      <c r="K28" s="30" t="s">
        <v>486</v>
      </c>
      <c r="M28" s="87">
        <v>6</v>
      </c>
      <c r="N28" s="84">
        <v>6</v>
      </c>
      <c r="O28" s="114">
        <v>77.5</v>
      </c>
      <c r="P28" s="116" t="s">
        <v>352</v>
      </c>
      <c r="V28" s="26"/>
      <c r="W28" s="26"/>
      <c r="X28" s="26"/>
    </row>
    <row r="29" spans="1:30" x14ac:dyDescent="0.25">
      <c r="A29" s="30" t="s">
        <v>203</v>
      </c>
      <c r="B29" s="30" t="s">
        <v>40</v>
      </c>
      <c r="C29" s="30" t="s">
        <v>472</v>
      </c>
      <c r="D29" s="83" t="s">
        <v>442</v>
      </c>
      <c r="E29" s="83" t="s">
        <v>442</v>
      </c>
      <c r="F29" s="104">
        <v>3</v>
      </c>
      <c r="G29" s="86">
        <v>0</v>
      </c>
      <c r="H29" s="30">
        <v>3</v>
      </c>
      <c r="I29" s="88"/>
      <c r="J29" s="86">
        <v>1</v>
      </c>
      <c r="K29" s="30" t="s">
        <v>486</v>
      </c>
      <c r="M29" s="104">
        <v>3</v>
      </c>
      <c r="N29" s="30">
        <v>3</v>
      </c>
      <c r="V29" s="24"/>
      <c r="W29" s="24"/>
      <c r="X29" s="26"/>
    </row>
    <row r="30" spans="1:30" x14ac:dyDescent="0.25">
      <c r="A30" s="30" t="s">
        <v>203</v>
      </c>
      <c r="B30" s="30" t="s">
        <v>40</v>
      </c>
      <c r="C30" s="30" t="s">
        <v>472</v>
      </c>
      <c r="D30" s="83" t="s">
        <v>359</v>
      </c>
      <c r="E30" s="83" t="s">
        <v>359</v>
      </c>
      <c r="F30" s="87">
        <v>5</v>
      </c>
      <c r="G30" s="86">
        <v>0</v>
      </c>
      <c r="H30" s="84">
        <v>5</v>
      </c>
      <c r="I30" s="88"/>
      <c r="J30" s="30">
        <v>1</v>
      </c>
      <c r="K30" s="30" t="s">
        <v>486</v>
      </c>
      <c r="M30" s="87">
        <v>5</v>
      </c>
      <c r="N30" s="84">
        <v>5</v>
      </c>
    </row>
    <row r="31" spans="1:30" x14ac:dyDescent="0.25">
      <c r="A31" s="30" t="s">
        <v>203</v>
      </c>
      <c r="B31" s="30" t="s">
        <v>40</v>
      </c>
      <c r="C31" s="30" t="s">
        <v>472</v>
      </c>
      <c r="D31" s="83" t="s">
        <v>445</v>
      </c>
      <c r="E31" s="83" t="s">
        <v>394</v>
      </c>
      <c r="F31" s="87" t="s">
        <v>445</v>
      </c>
      <c r="G31" s="86">
        <v>0</v>
      </c>
      <c r="H31" s="84" t="s">
        <v>394</v>
      </c>
      <c r="I31" s="88"/>
      <c r="J31" s="86">
        <v>0</v>
      </c>
      <c r="K31" s="30" t="s">
        <v>486</v>
      </c>
      <c r="M31" s="87" t="s">
        <v>445</v>
      </c>
      <c r="N31" s="84" t="s">
        <v>394</v>
      </c>
    </row>
    <row r="32" spans="1:30" x14ac:dyDescent="0.25">
      <c r="A32" s="30" t="s">
        <v>120</v>
      </c>
      <c r="B32" s="30" t="s">
        <v>367</v>
      </c>
      <c r="C32" s="30" t="s">
        <v>472</v>
      </c>
      <c r="D32" s="83" t="s">
        <v>368</v>
      </c>
      <c r="E32" s="83" t="s">
        <v>336</v>
      </c>
      <c r="F32" s="87" t="s">
        <v>368</v>
      </c>
      <c r="G32" s="86">
        <v>0</v>
      </c>
      <c r="H32" s="84" t="s">
        <v>336</v>
      </c>
      <c r="I32" s="85">
        <v>0</v>
      </c>
      <c r="J32" s="86"/>
      <c r="K32" s="30" t="s">
        <v>486</v>
      </c>
      <c r="M32" s="87" t="s">
        <v>368</v>
      </c>
      <c r="N32" s="84" t="s">
        <v>336</v>
      </c>
    </row>
    <row r="33" spans="1:14" x14ac:dyDescent="0.25">
      <c r="A33" s="22" t="s">
        <v>55</v>
      </c>
      <c r="B33" s="22" t="s">
        <v>11</v>
      </c>
      <c r="C33" s="22" t="s">
        <v>475</v>
      </c>
      <c r="D33" s="57" t="s">
        <v>381</v>
      </c>
      <c r="E33" s="57" t="s">
        <v>382</v>
      </c>
      <c r="F33" s="58">
        <v>141</v>
      </c>
      <c r="G33" s="59">
        <v>10</v>
      </c>
      <c r="H33" s="60">
        <f>MEDIAN(347,399)</f>
        <v>373</v>
      </c>
      <c r="I33" s="61">
        <f>(399-347)/2</f>
        <v>26</v>
      </c>
      <c r="J33" s="59"/>
      <c r="K33" s="22" t="s">
        <v>486</v>
      </c>
      <c r="M33" s="53">
        <v>2</v>
      </c>
      <c r="N33" s="54">
        <v>45</v>
      </c>
    </row>
    <row r="34" spans="1:14" x14ac:dyDescent="0.25">
      <c r="A34" s="22" t="s">
        <v>10</v>
      </c>
      <c r="B34" s="22" t="s">
        <v>11</v>
      </c>
      <c r="C34" s="22" t="s">
        <v>475</v>
      </c>
      <c r="D34" s="57" t="s">
        <v>398</v>
      </c>
      <c r="E34" s="57" t="s">
        <v>399</v>
      </c>
      <c r="F34" s="58" t="s">
        <v>398</v>
      </c>
      <c r="G34" s="59">
        <v>0</v>
      </c>
      <c r="H34" s="60" t="s">
        <v>399</v>
      </c>
      <c r="I34" s="61">
        <v>0</v>
      </c>
      <c r="J34" s="59"/>
      <c r="K34" s="22" t="s">
        <v>486</v>
      </c>
      <c r="M34" s="53">
        <v>2</v>
      </c>
      <c r="N34" s="54">
        <v>45</v>
      </c>
    </row>
    <row r="35" spans="1:14" x14ac:dyDescent="0.25">
      <c r="A35" s="22" t="s">
        <v>16</v>
      </c>
      <c r="B35" s="22" t="s">
        <v>11</v>
      </c>
      <c r="C35" s="22" t="s">
        <v>475</v>
      </c>
      <c r="D35" s="57" t="s">
        <v>438</v>
      </c>
      <c r="E35" s="57" t="s">
        <v>390</v>
      </c>
      <c r="F35" s="58" t="s">
        <v>438</v>
      </c>
      <c r="G35" s="59">
        <v>0</v>
      </c>
      <c r="H35" s="60" t="s">
        <v>390</v>
      </c>
      <c r="I35" s="61">
        <v>0</v>
      </c>
      <c r="J35" s="59"/>
      <c r="K35" s="22" t="s">
        <v>486</v>
      </c>
      <c r="M35" s="53" t="s">
        <v>351</v>
      </c>
      <c r="N35" s="54" t="s">
        <v>352</v>
      </c>
    </row>
    <row r="36" spans="1:14" x14ac:dyDescent="0.25">
      <c r="A36" s="22" t="s">
        <v>16</v>
      </c>
      <c r="B36" s="22" t="s">
        <v>11</v>
      </c>
      <c r="C36" s="22" t="s">
        <v>475</v>
      </c>
      <c r="D36" s="57" t="s">
        <v>438</v>
      </c>
      <c r="E36" s="57" t="s">
        <v>390</v>
      </c>
      <c r="F36" s="58" t="s">
        <v>438</v>
      </c>
      <c r="G36" s="59">
        <v>0</v>
      </c>
      <c r="H36" s="60" t="s">
        <v>390</v>
      </c>
      <c r="I36" s="61">
        <v>0</v>
      </c>
      <c r="J36" s="59"/>
      <c r="K36" s="22" t="s">
        <v>486</v>
      </c>
      <c r="M36" s="53">
        <v>6.1</v>
      </c>
      <c r="N36" s="54">
        <v>100</v>
      </c>
    </row>
    <row r="37" spans="1:14" x14ac:dyDescent="0.25">
      <c r="A37" s="22" t="s">
        <v>16</v>
      </c>
      <c r="B37" s="22" t="s">
        <v>11</v>
      </c>
      <c r="C37" s="22" t="s">
        <v>475</v>
      </c>
      <c r="D37" s="57" t="s">
        <v>438</v>
      </c>
      <c r="E37" s="57" t="s">
        <v>390</v>
      </c>
      <c r="F37" s="58" t="s">
        <v>438</v>
      </c>
      <c r="G37" s="59">
        <v>0</v>
      </c>
      <c r="H37" s="60" t="s">
        <v>390</v>
      </c>
      <c r="I37" s="61">
        <v>0</v>
      </c>
      <c r="J37" s="59"/>
      <c r="K37" s="22" t="s">
        <v>486</v>
      </c>
      <c r="M37" s="53" t="s">
        <v>359</v>
      </c>
      <c r="N37" s="54">
        <v>87.5</v>
      </c>
    </row>
    <row r="38" spans="1:14" x14ac:dyDescent="0.25">
      <c r="A38" s="22" t="s">
        <v>16</v>
      </c>
      <c r="B38" s="22" t="s">
        <v>11</v>
      </c>
      <c r="C38" s="22" t="s">
        <v>475</v>
      </c>
      <c r="D38" s="57" t="s">
        <v>438</v>
      </c>
      <c r="E38" s="57" t="s">
        <v>390</v>
      </c>
      <c r="F38" s="58" t="s">
        <v>438</v>
      </c>
      <c r="G38" s="59">
        <v>0</v>
      </c>
      <c r="H38" s="60" t="s">
        <v>390</v>
      </c>
      <c r="I38" s="61">
        <v>0</v>
      </c>
      <c r="J38" s="59"/>
      <c r="K38" s="22" t="s">
        <v>486</v>
      </c>
      <c r="M38" s="53">
        <v>6.1</v>
      </c>
      <c r="N38" s="54" t="s">
        <v>355</v>
      </c>
    </row>
    <row r="39" spans="1:14" x14ac:dyDescent="0.25">
      <c r="A39" s="22" t="s">
        <v>163</v>
      </c>
      <c r="B39" s="22" t="s">
        <v>388</v>
      </c>
      <c r="C39" s="22" t="s">
        <v>475</v>
      </c>
      <c r="D39" s="57" t="s">
        <v>389</v>
      </c>
      <c r="E39" s="57" t="s">
        <v>390</v>
      </c>
      <c r="F39" s="58" t="s">
        <v>389</v>
      </c>
      <c r="G39" s="59">
        <v>0</v>
      </c>
      <c r="H39" s="60" t="s">
        <v>390</v>
      </c>
      <c r="I39" s="61">
        <v>0</v>
      </c>
      <c r="J39" s="59"/>
      <c r="K39" s="22" t="s">
        <v>486</v>
      </c>
      <c r="M39" s="53" t="s">
        <v>373</v>
      </c>
      <c r="N39" s="54" t="s">
        <v>374</v>
      </c>
    </row>
    <row r="40" spans="1:14" x14ac:dyDescent="0.25">
      <c r="A40" s="22" t="s">
        <v>163</v>
      </c>
      <c r="B40" s="22" t="s">
        <v>388</v>
      </c>
      <c r="C40" s="22" t="s">
        <v>475</v>
      </c>
      <c r="D40" s="57" t="s">
        <v>389</v>
      </c>
      <c r="E40" s="57" t="s">
        <v>390</v>
      </c>
      <c r="F40" s="58" t="s">
        <v>389</v>
      </c>
      <c r="G40" s="59">
        <v>0</v>
      </c>
      <c r="H40" s="60" t="s">
        <v>390</v>
      </c>
      <c r="I40" s="61">
        <v>0</v>
      </c>
      <c r="J40" s="59"/>
      <c r="K40" s="22" t="s">
        <v>486</v>
      </c>
      <c r="M40" s="53" t="s">
        <v>376</v>
      </c>
      <c r="N40" s="54" t="s">
        <v>377</v>
      </c>
    </row>
    <row r="41" spans="1:14" x14ac:dyDescent="0.25">
      <c r="A41" s="22" t="s">
        <v>163</v>
      </c>
      <c r="B41" s="22" t="s">
        <v>388</v>
      </c>
      <c r="C41" s="22" t="s">
        <v>475</v>
      </c>
      <c r="D41" s="57" t="s">
        <v>389</v>
      </c>
      <c r="E41" s="57" t="s">
        <v>390</v>
      </c>
      <c r="F41" s="58" t="s">
        <v>389</v>
      </c>
      <c r="G41" s="59">
        <v>0</v>
      </c>
      <c r="H41" s="60" t="s">
        <v>390</v>
      </c>
      <c r="I41" s="61">
        <v>0</v>
      </c>
      <c r="J41" s="59"/>
      <c r="K41" s="22" t="s">
        <v>486</v>
      </c>
      <c r="M41" s="54" t="s">
        <v>359</v>
      </c>
      <c r="N41" s="54">
        <v>45</v>
      </c>
    </row>
    <row r="42" spans="1:14" x14ac:dyDescent="0.25">
      <c r="A42" s="22" t="s">
        <v>163</v>
      </c>
      <c r="B42" s="22" t="s">
        <v>388</v>
      </c>
      <c r="C42" s="22" t="s">
        <v>475</v>
      </c>
      <c r="D42" s="57" t="s">
        <v>389</v>
      </c>
      <c r="E42" s="57" t="s">
        <v>390</v>
      </c>
      <c r="F42" s="58">
        <v>97</v>
      </c>
      <c r="G42" s="59">
        <v>1</v>
      </c>
      <c r="H42" s="60">
        <v>200</v>
      </c>
      <c r="I42" s="61">
        <v>1</v>
      </c>
      <c r="J42" s="59" t="s">
        <v>553</v>
      </c>
      <c r="K42" s="22" t="s">
        <v>486</v>
      </c>
      <c r="M42" s="53" t="s">
        <v>359</v>
      </c>
      <c r="N42" s="54">
        <v>45</v>
      </c>
    </row>
    <row r="43" spans="1:14" x14ac:dyDescent="0.25">
      <c r="A43" s="22" t="s">
        <v>253</v>
      </c>
      <c r="B43" s="22" t="s">
        <v>434</v>
      </c>
      <c r="C43" s="22" t="s">
        <v>475</v>
      </c>
      <c r="D43" s="57" t="s">
        <v>435</v>
      </c>
      <c r="E43" s="57" t="s">
        <v>436</v>
      </c>
      <c r="F43" s="58">
        <f>MEDIAN(294,375)</f>
        <v>334.5</v>
      </c>
      <c r="G43" s="59">
        <f>(375-294)/2</f>
        <v>40.5</v>
      </c>
      <c r="H43" s="60">
        <f>MEDIAN(649,947)</f>
        <v>798</v>
      </c>
      <c r="I43" s="61">
        <f>(947-649)/2</f>
        <v>149</v>
      </c>
      <c r="J43" s="59"/>
      <c r="K43" s="22" t="s">
        <v>486</v>
      </c>
      <c r="M43" s="53" t="s">
        <v>413</v>
      </c>
      <c r="N43" s="54" t="s">
        <v>336</v>
      </c>
    </row>
    <row r="44" spans="1:14" x14ac:dyDescent="0.25">
      <c r="A44" s="22" t="s">
        <v>219</v>
      </c>
      <c r="B44" s="22" t="s">
        <v>11</v>
      </c>
      <c r="C44" s="22" t="s">
        <v>480</v>
      </c>
      <c r="D44" s="57" t="s">
        <v>342</v>
      </c>
      <c r="E44" s="57" t="s">
        <v>343</v>
      </c>
      <c r="F44" s="58">
        <v>85</v>
      </c>
      <c r="G44" s="59">
        <v>40</v>
      </c>
      <c r="H44" s="60">
        <v>97.5</v>
      </c>
      <c r="I44" s="61">
        <v>42.5</v>
      </c>
      <c r="J44" s="59"/>
      <c r="K44" s="22" t="s">
        <v>486</v>
      </c>
      <c r="M44" s="53"/>
      <c r="N44" s="54"/>
    </row>
    <row r="45" spans="1:14" x14ac:dyDescent="0.25">
      <c r="A45" s="29" t="s">
        <v>200</v>
      </c>
      <c r="B45" s="29" t="s">
        <v>201</v>
      </c>
      <c r="C45" s="29" t="s">
        <v>480</v>
      </c>
      <c r="D45" s="73" t="s">
        <v>352</v>
      </c>
      <c r="E45" s="73" t="s">
        <v>352</v>
      </c>
      <c r="F45" s="74" t="s">
        <v>352</v>
      </c>
      <c r="G45" s="75">
        <v>0</v>
      </c>
      <c r="H45" s="76" t="s">
        <v>352</v>
      </c>
      <c r="I45" s="77">
        <v>0</v>
      </c>
      <c r="J45" s="75">
        <v>1</v>
      </c>
      <c r="K45" s="29" t="s">
        <v>486</v>
      </c>
      <c r="M45" s="53" t="s">
        <v>414</v>
      </c>
      <c r="N45" s="54" t="s">
        <v>415</v>
      </c>
    </row>
    <row r="46" spans="1:14" x14ac:dyDescent="0.25">
      <c r="A46" s="29" t="s">
        <v>141</v>
      </c>
      <c r="B46" s="29" t="s">
        <v>346</v>
      </c>
      <c r="C46" s="29" t="s">
        <v>480</v>
      </c>
      <c r="D46" s="73" t="s">
        <v>347</v>
      </c>
      <c r="E46" s="73" t="s">
        <v>347</v>
      </c>
      <c r="F46" s="74" t="s">
        <v>347</v>
      </c>
      <c r="G46" s="75">
        <v>0</v>
      </c>
      <c r="H46" s="76" t="s">
        <v>347</v>
      </c>
      <c r="I46" s="77">
        <v>0</v>
      </c>
      <c r="J46" s="75">
        <v>1</v>
      </c>
      <c r="K46" s="29" t="s">
        <v>486</v>
      </c>
      <c r="M46" s="53" t="s">
        <v>359</v>
      </c>
      <c r="N46" s="54">
        <v>70</v>
      </c>
    </row>
    <row r="47" spans="1:14" x14ac:dyDescent="0.25">
      <c r="A47" s="23" t="s">
        <v>173</v>
      </c>
      <c r="B47" s="23" t="s">
        <v>424</v>
      </c>
      <c r="C47" s="23" t="s">
        <v>476</v>
      </c>
      <c r="D47" s="65" t="s">
        <v>355</v>
      </c>
      <c r="E47" s="65" t="s">
        <v>425</v>
      </c>
      <c r="F47" s="55" t="s">
        <v>355</v>
      </c>
      <c r="G47" s="67">
        <v>0</v>
      </c>
      <c r="H47" s="56" t="s">
        <v>425</v>
      </c>
      <c r="I47" s="66">
        <v>0</v>
      </c>
      <c r="J47" s="67"/>
      <c r="K47" s="23" t="s">
        <v>486</v>
      </c>
      <c r="M47" s="53" t="s">
        <v>419</v>
      </c>
      <c r="N47" s="54" t="s">
        <v>377</v>
      </c>
    </row>
    <row r="48" spans="1:14" x14ac:dyDescent="0.25">
      <c r="A48" s="23" t="s">
        <v>27</v>
      </c>
      <c r="B48" s="23" t="s">
        <v>330</v>
      </c>
      <c r="C48" s="23" t="s">
        <v>476</v>
      </c>
      <c r="D48" s="65">
        <v>110</v>
      </c>
      <c r="E48" s="65">
        <v>365</v>
      </c>
      <c r="F48" s="55">
        <v>110</v>
      </c>
      <c r="G48" s="56">
        <v>0</v>
      </c>
      <c r="H48" s="56">
        <v>365</v>
      </c>
      <c r="I48" s="66">
        <v>0</v>
      </c>
      <c r="J48" s="67"/>
      <c r="K48" s="23" t="s">
        <v>486</v>
      </c>
      <c r="M48" s="53" t="s">
        <v>420</v>
      </c>
      <c r="N48" s="54" t="s">
        <v>355</v>
      </c>
    </row>
    <row r="49" spans="1:14" x14ac:dyDescent="0.25">
      <c r="A49" s="23" t="s">
        <v>215</v>
      </c>
      <c r="B49" s="23" t="s">
        <v>378</v>
      </c>
      <c r="C49" s="23" t="s">
        <v>476</v>
      </c>
      <c r="D49" s="65" t="s">
        <v>379</v>
      </c>
      <c r="E49" s="65" t="s">
        <v>380</v>
      </c>
      <c r="F49" s="55">
        <v>301</v>
      </c>
      <c r="G49" s="67">
        <f>(331-291)/2</f>
        <v>20</v>
      </c>
      <c r="H49" s="56">
        <f>MEDIAN(232,300)</f>
        <v>266</v>
      </c>
      <c r="I49" s="66">
        <f>(300-232/2)</f>
        <v>184</v>
      </c>
      <c r="J49" s="67"/>
      <c r="K49" s="23" t="s">
        <v>486</v>
      </c>
      <c r="M49" s="108" t="s">
        <v>359</v>
      </c>
      <c r="N49" s="110" t="s">
        <v>377</v>
      </c>
    </row>
    <row r="50" spans="1:14" x14ac:dyDescent="0.25">
      <c r="A50" s="23" t="s">
        <v>215</v>
      </c>
      <c r="B50" s="23" t="s">
        <v>378</v>
      </c>
      <c r="C50" s="23" t="s">
        <v>476</v>
      </c>
      <c r="D50" s="65" t="s">
        <v>379</v>
      </c>
      <c r="E50" s="65" t="s">
        <v>380</v>
      </c>
      <c r="F50" s="55">
        <v>301</v>
      </c>
      <c r="G50" s="67">
        <f>(331-291)/2</f>
        <v>20</v>
      </c>
      <c r="H50" s="55">
        <f>MEDIAN(232,300)</f>
        <v>266</v>
      </c>
      <c r="I50" s="67">
        <f>(300-232/2)</f>
        <v>184</v>
      </c>
      <c r="J50" s="67"/>
      <c r="K50" s="23" t="s">
        <v>486</v>
      </c>
      <c r="M50" s="108" t="s">
        <v>359</v>
      </c>
      <c r="N50" s="110" t="s">
        <v>377</v>
      </c>
    </row>
    <row r="51" spans="1:14" x14ac:dyDescent="0.25">
      <c r="A51" s="31" t="s">
        <v>68</v>
      </c>
      <c r="B51" s="31" t="s">
        <v>6</v>
      </c>
      <c r="C51" s="31" t="s">
        <v>473</v>
      </c>
      <c r="D51" s="62">
        <v>2</v>
      </c>
      <c r="E51" s="62" t="s">
        <v>320</v>
      </c>
      <c r="F51" s="53">
        <v>2</v>
      </c>
      <c r="G51" s="63">
        <v>0</v>
      </c>
      <c r="H51" s="54">
        <v>45</v>
      </c>
      <c r="I51" s="64">
        <v>15</v>
      </c>
      <c r="J51" s="63"/>
      <c r="K51" s="31" t="s">
        <v>486</v>
      </c>
      <c r="M51" s="110" t="s">
        <v>359</v>
      </c>
      <c r="N51" s="110" t="s">
        <v>377</v>
      </c>
    </row>
    <row r="52" spans="1:14" x14ac:dyDescent="0.25">
      <c r="A52" s="31" t="s">
        <v>68</v>
      </c>
      <c r="B52" s="31" t="s">
        <v>6</v>
      </c>
      <c r="C52" s="31" t="s">
        <v>473</v>
      </c>
      <c r="D52" s="62">
        <v>2</v>
      </c>
      <c r="E52" s="62" t="s">
        <v>320</v>
      </c>
      <c r="F52" s="53">
        <v>2</v>
      </c>
      <c r="G52" s="63">
        <v>0</v>
      </c>
      <c r="H52" s="54">
        <v>45</v>
      </c>
      <c r="I52" s="64">
        <v>15</v>
      </c>
      <c r="J52" s="63"/>
      <c r="K52" s="31" t="s">
        <v>486</v>
      </c>
      <c r="M52" s="108" t="s">
        <v>359</v>
      </c>
      <c r="N52" s="110" t="s">
        <v>377</v>
      </c>
    </row>
    <row r="53" spans="1:14" x14ac:dyDescent="0.25">
      <c r="A53" s="31" t="s">
        <v>210</v>
      </c>
      <c r="B53" s="31" t="s">
        <v>6</v>
      </c>
      <c r="C53" s="31" t="s">
        <v>473</v>
      </c>
      <c r="D53" s="62" t="s">
        <v>351</v>
      </c>
      <c r="E53" s="62" t="s">
        <v>352</v>
      </c>
      <c r="F53" s="53" t="s">
        <v>351</v>
      </c>
      <c r="G53" s="63">
        <v>0</v>
      </c>
      <c r="H53" s="54" t="s">
        <v>352</v>
      </c>
      <c r="I53" s="64">
        <v>0</v>
      </c>
      <c r="J53" s="63"/>
      <c r="K53" s="31" t="s">
        <v>486</v>
      </c>
      <c r="M53" s="108" t="s">
        <v>359</v>
      </c>
      <c r="N53" s="110" t="s">
        <v>377</v>
      </c>
    </row>
    <row r="54" spans="1:14" x14ac:dyDescent="0.25">
      <c r="A54" s="31" t="s">
        <v>133</v>
      </c>
      <c r="B54" s="31" t="s">
        <v>6</v>
      </c>
      <c r="C54" s="31" t="s">
        <v>473</v>
      </c>
      <c r="D54" s="62" t="s">
        <v>358</v>
      </c>
      <c r="E54" s="62" t="s">
        <v>355</v>
      </c>
      <c r="F54" s="53">
        <v>6.1</v>
      </c>
      <c r="G54" s="63">
        <v>0.1</v>
      </c>
      <c r="H54" s="54">
        <v>100</v>
      </c>
      <c r="I54" s="64">
        <v>0</v>
      </c>
      <c r="J54" s="63"/>
      <c r="K54" s="31" t="s">
        <v>486</v>
      </c>
      <c r="M54" s="69" t="s">
        <v>336</v>
      </c>
      <c r="N54" s="71" t="s">
        <v>412</v>
      </c>
    </row>
    <row r="55" spans="1:14" x14ac:dyDescent="0.25">
      <c r="A55" s="31" t="s">
        <v>76</v>
      </c>
      <c r="B55" s="31" t="s">
        <v>6</v>
      </c>
      <c r="C55" s="31" t="s">
        <v>473</v>
      </c>
      <c r="D55" s="62" t="s">
        <v>359</v>
      </c>
      <c r="E55" s="62" t="s">
        <v>360</v>
      </c>
      <c r="F55" s="53" t="s">
        <v>359</v>
      </c>
      <c r="G55" s="63">
        <v>0</v>
      </c>
      <c r="H55" s="54">
        <f>MEDIAN(75,100)</f>
        <v>87.5</v>
      </c>
      <c r="I55" s="64">
        <f>(100-75)/2</f>
        <v>12.5</v>
      </c>
      <c r="J55" s="63"/>
      <c r="K55" s="31" t="s">
        <v>486</v>
      </c>
      <c r="M55" s="69" t="s">
        <v>390</v>
      </c>
      <c r="N55" s="71" t="s">
        <v>390</v>
      </c>
    </row>
    <row r="56" spans="1:14" x14ac:dyDescent="0.25">
      <c r="A56" s="31" t="s">
        <v>213</v>
      </c>
      <c r="B56" s="31" t="s">
        <v>6</v>
      </c>
      <c r="C56" s="31" t="s">
        <v>473</v>
      </c>
      <c r="D56" s="62" t="s">
        <v>358</v>
      </c>
      <c r="E56" s="62" t="s">
        <v>355</v>
      </c>
      <c r="F56" s="53">
        <v>6.1</v>
      </c>
      <c r="G56" s="63">
        <v>0.1</v>
      </c>
      <c r="H56" s="54" t="s">
        <v>355</v>
      </c>
      <c r="I56" s="64">
        <v>0</v>
      </c>
      <c r="J56" s="63"/>
      <c r="K56" s="31" t="s">
        <v>486</v>
      </c>
      <c r="M56" s="112">
        <v>4</v>
      </c>
      <c r="N56" s="32">
        <v>4</v>
      </c>
    </row>
    <row r="57" spans="1:14" x14ac:dyDescent="0.25">
      <c r="A57" s="31" t="s">
        <v>45</v>
      </c>
      <c r="B57" s="31" t="s">
        <v>6</v>
      </c>
      <c r="C57" s="31" t="s">
        <v>473</v>
      </c>
      <c r="D57" s="62" t="s">
        <v>373</v>
      </c>
      <c r="E57" s="62" t="s">
        <v>374</v>
      </c>
      <c r="F57" s="53" t="s">
        <v>373</v>
      </c>
      <c r="G57" s="63">
        <v>0</v>
      </c>
      <c r="H57" s="54" t="s">
        <v>374</v>
      </c>
      <c r="I57" s="64">
        <v>0</v>
      </c>
      <c r="J57" s="63"/>
      <c r="K57" s="31" t="s">
        <v>486</v>
      </c>
      <c r="M57" s="69"/>
      <c r="N57" s="71" t="s">
        <v>352</v>
      </c>
    </row>
    <row r="58" spans="1:14" x14ac:dyDescent="0.25">
      <c r="A58" s="31" t="s">
        <v>236</v>
      </c>
      <c r="B58" s="31" t="s">
        <v>6</v>
      </c>
      <c r="C58" s="31" t="s">
        <v>473</v>
      </c>
      <c r="D58" s="62" t="s">
        <v>376</v>
      </c>
      <c r="E58" s="62" t="s">
        <v>377</v>
      </c>
      <c r="F58" s="53" t="s">
        <v>376</v>
      </c>
      <c r="G58" s="63">
        <v>0</v>
      </c>
      <c r="H58" s="54" t="s">
        <v>377</v>
      </c>
      <c r="I58" s="64">
        <v>0</v>
      </c>
      <c r="J58" s="63"/>
      <c r="K58" s="31" t="s">
        <v>486</v>
      </c>
      <c r="M58" s="79">
        <v>1.9</v>
      </c>
      <c r="N58" s="81" t="s">
        <v>371</v>
      </c>
    </row>
    <row r="59" spans="1:14" x14ac:dyDescent="0.25">
      <c r="A59" s="31" t="s">
        <v>4</v>
      </c>
      <c r="B59" s="31" t="s">
        <v>6</v>
      </c>
      <c r="C59" s="31" t="s">
        <v>473</v>
      </c>
      <c r="D59" s="62" t="s">
        <v>359</v>
      </c>
      <c r="E59" s="62" t="s">
        <v>396</v>
      </c>
      <c r="F59" s="54" t="s">
        <v>359</v>
      </c>
      <c r="G59" s="64">
        <v>0</v>
      </c>
      <c r="H59" s="54">
        <v>45</v>
      </c>
      <c r="I59" s="64">
        <v>5</v>
      </c>
      <c r="J59" s="63"/>
      <c r="K59" s="31" t="s">
        <v>486</v>
      </c>
      <c r="M59" s="79" t="s">
        <v>359</v>
      </c>
      <c r="N59" s="81" t="s">
        <v>404</v>
      </c>
    </row>
    <row r="60" spans="1:14" x14ac:dyDescent="0.25">
      <c r="A60" s="31" t="s">
        <v>4</v>
      </c>
      <c r="B60" s="31" t="s">
        <v>6</v>
      </c>
      <c r="C60" s="31" t="s">
        <v>473</v>
      </c>
      <c r="D60" s="62" t="s">
        <v>359</v>
      </c>
      <c r="E60" s="62" t="s">
        <v>396</v>
      </c>
      <c r="F60" s="53" t="s">
        <v>359</v>
      </c>
      <c r="G60" s="63">
        <v>0</v>
      </c>
      <c r="H60" s="54">
        <v>45</v>
      </c>
      <c r="I60" s="64">
        <v>5</v>
      </c>
      <c r="J60" s="63"/>
      <c r="K60" s="31" t="s">
        <v>486</v>
      </c>
    </row>
    <row r="61" spans="1:14" x14ac:dyDescent="0.25">
      <c r="A61" s="31" t="s">
        <v>248</v>
      </c>
      <c r="B61" s="31" t="s">
        <v>6</v>
      </c>
      <c r="C61" s="31" t="s">
        <v>473</v>
      </c>
      <c r="D61" s="62" t="s">
        <v>413</v>
      </c>
      <c r="E61" s="62" t="s">
        <v>336</v>
      </c>
      <c r="F61" s="53" t="s">
        <v>413</v>
      </c>
      <c r="G61" s="63">
        <v>0</v>
      </c>
      <c r="H61" s="54" t="s">
        <v>336</v>
      </c>
      <c r="I61" s="64">
        <v>0</v>
      </c>
      <c r="J61" s="63"/>
      <c r="K61" s="31" t="s">
        <v>486</v>
      </c>
    </row>
    <row r="62" spans="1:14" x14ac:dyDescent="0.25">
      <c r="A62" s="31" t="s">
        <v>176</v>
      </c>
      <c r="B62" s="31" t="s">
        <v>6</v>
      </c>
      <c r="C62" s="31" t="s">
        <v>473</v>
      </c>
      <c r="D62" s="62" t="s">
        <v>414</v>
      </c>
      <c r="E62" s="62" t="s">
        <v>415</v>
      </c>
      <c r="F62" s="53" t="s">
        <v>414</v>
      </c>
      <c r="G62" s="63">
        <v>0</v>
      </c>
      <c r="H62" s="54" t="s">
        <v>415</v>
      </c>
      <c r="I62" s="64">
        <v>0</v>
      </c>
      <c r="J62" s="63"/>
      <c r="K62" s="31" t="s">
        <v>486</v>
      </c>
    </row>
    <row r="63" spans="1:14" x14ac:dyDescent="0.25">
      <c r="A63" s="31" t="s">
        <v>223</v>
      </c>
      <c r="B63" s="31" t="s">
        <v>6</v>
      </c>
      <c r="C63" s="31" t="s">
        <v>473</v>
      </c>
      <c r="D63" s="62" t="s">
        <v>359</v>
      </c>
      <c r="E63" s="62" t="s">
        <v>416</v>
      </c>
      <c r="F63" s="53" t="s">
        <v>359</v>
      </c>
      <c r="G63" s="63">
        <v>0</v>
      </c>
      <c r="H63" s="54">
        <v>70</v>
      </c>
      <c r="I63" s="64">
        <v>5</v>
      </c>
      <c r="J63" s="63"/>
      <c r="K63" s="31" t="s">
        <v>486</v>
      </c>
    </row>
    <row r="64" spans="1:14" x14ac:dyDescent="0.25">
      <c r="A64" s="31" t="s">
        <v>101</v>
      </c>
      <c r="B64" s="31" t="s">
        <v>6</v>
      </c>
      <c r="C64" s="31" t="s">
        <v>473</v>
      </c>
      <c r="D64" s="62" t="s">
        <v>419</v>
      </c>
      <c r="E64" s="62" t="s">
        <v>377</v>
      </c>
      <c r="F64" s="53" t="s">
        <v>419</v>
      </c>
      <c r="G64" s="63">
        <v>0</v>
      </c>
      <c r="H64" s="54" t="s">
        <v>377</v>
      </c>
      <c r="I64" s="64">
        <v>0</v>
      </c>
      <c r="J64" s="63"/>
      <c r="K64" s="31" t="s">
        <v>486</v>
      </c>
    </row>
    <row r="65" spans="1:14" x14ac:dyDescent="0.25">
      <c r="A65" s="31" t="s">
        <v>66</v>
      </c>
      <c r="B65" s="31" t="s">
        <v>6</v>
      </c>
      <c r="C65" s="31" t="s">
        <v>473</v>
      </c>
      <c r="D65" s="62" t="s">
        <v>420</v>
      </c>
      <c r="E65" s="62" t="s">
        <v>355</v>
      </c>
      <c r="F65" s="53" t="s">
        <v>420</v>
      </c>
      <c r="G65" s="63">
        <v>0</v>
      </c>
      <c r="H65" s="54" t="s">
        <v>355</v>
      </c>
      <c r="I65" s="64">
        <v>0</v>
      </c>
      <c r="J65" s="63"/>
      <c r="K65" s="31" t="s">
        <v>486</v>
      </c>
    </row>
    <row r="66" spans="1:14" x14ac:dyDescent="0.25">
      <c r="A66" s="105" t="s">
        <v>136</v>
      </c>
      <c r="B66" s="105" t="s">
        <v>437</v>
      </c>
      <c r="C66" s="106" t="s">
        <v>479</v>
      </c>
      <c r="D66" s="107" t="s">
        <v>359</v>
      </c>
      <c r="E66" s="107" t="s">
        <v>377</v>
      </c>
      <c r="F66" s="108" t="s">
        <v>359</v>
      </c>
      <c r="G66" s="109">
        <v>0</v>
      </c>
      <c r="H66" s="110" t="s">
        <v>377</v>
      </c>
      <c r="I66" s="111">
        <v>0</v>
      </c>
      <c r="J66" s="109"/>
      <c r="K66" s="105" t="s">
        <v>486</v>
      </c>
    </row>
    <row r="67" spans="1:14" x14ac:dyDescent="0.25">
      <c r="A67" s="105" t="s">
        <v>136</v>
      </c>
      <c r="B67" s="105" t="s">
        <v>437</v>
      </c>
      <c r="C67" s="106" t="s">
        <v>479</v>
      </c>
      <c r="D67" s="107" t="s">
        <v>359</v>
      </c>
      <c r="E67" s="107" t="s">
        <v>377</v>
      </c>
      <c r="F67" s="108" t="s">
        <v>359</v>
      </c>
      <c r="G67" s="109">
        <v>0</v>
      </c>
      <c r="H67" s="110" t="s">
        <v>377</v>
      </c>
      <c r="I67" s="111">
        <v>0</v>
      </c>
      <c r="J67" s="109"/>
      <c r="K67" s="105" t="s">
        <v>486</v>
      </c>
    </row>
    <row r="68" spans="1:14" x14ac:dyDescent="0.25">
      <c r="A68" s="105" t="s">
        <v>136</v>
      </c>
      <c r="B68" s="105" t="s">
        <v>437</v>
      </c>
      <c r="C68" s="106" t="s">
        <v>479</v>
      </c>
      <c r="D68" s="107" t="s">
        <v>359</v>
      </c>
      <c r="E68" s="107" t="s">
        <v>377</v>
      </c>
      <c r="F68" s="110" t="s">
        <v>359</v>
      </c>
      <c r="G68" s="111">
        <v>0</v>
      </c>
      <c r="H68" s="110" t="s">
        <v>377</v>
      </c>
      <c r="I68" s="111">
        <v>0</v>
      </c>
      <c r="J68" s="109"/>
      <c r="K68" s="105" t="s">
        <v>486</v>
      </c>
    </row>
    <row r="69" spans="1:14" x14ac:dyDescent="0.25">
      <c r="A69" s="105" t="s">
        <v>136</v>
      </c>
      <c r="B69" s="105" t="s">
        <v>437</v>
      </c>
      <c r="C69" s="106" t="s">
        <v>479</v>
      </c>
      <c r="D69" s="107" t="s">
        <v>359</v>
      </c>
      <c r="E69" s="107" t="s">
        <v>377</v>
      </c>
      <c r="F69" s="108" t="s">
        <v>359</v>
      </c>
      <c r="G69" s="109">
        <v>0</v>
      </c>
      <c r="H69" s="110" t="s">
        <v>377</v>
      </c>
      <c r="I69" s="111">
        <v>0</v>
      </c>
      <c r="J69" s="109"/>
      <c r="K69" s="105" t="s">
        <v>486</v>
      </c>
      <c r="M69" s="19"/>
    </row>
    <row r="70" spans="1:14" x14ac:dyDescent="0.25">
      <c r="A70" s="105" t="s">
        <v>136</v>
      </c>
      <c r="B70" s="105" t="s">
        <v>437</v>
      </c>
      <c r="C70" s="106" t="s">
        <v>479</v>
      </c>
      <c r="D70" s="107" t="s">
        <v>359</v>
      </c>
      <c r="E70" s="107" t="s">
        <v>377</v>
      </c>
      <c r="F70" s="108" t="s">
        <v>359</v>
      </c>
      <c r="G70" s="109">
        <v>0</v>
      </c>
      <c r="H70" s="110" t="s">
        <v>377</v>
      </c>
      <c r="I70" s="111">
        <v>0</v>
      </c>
      <c r="J70" s="109"/>
      <c r="K70" s="105" t="s">
        <v>486</v>
      </c>
      <c r="M70" s="19"/>
    </row>
    <row r="71" spans="1:14" x14ac:dyDescent="0.25">
      <c r="A71" s="32" t="s">
        <v>246</v>
      </c>
      <c r="B71" s="32" t="s">
        <v>115</v>
      </c>
      <c r="C71" s="32" t="s">
        <v>474</v>
      </c>
      <c r="D71" s="68" t="s">
        <v>336</v>
      </c>
      <c r="E71" s="68" t="s">
        <v>412</v>
      </c>
      <c r="F71" s="69" t="s">
        <v>336</v>
      </c>
      <c r="G71" s="70">
        <v>0</v>
      </c>
      <c r="H71" s="71" t="s">
        <v>412</v>
      </c>
      <c r="I71" s="72">
        <v>0</v>
      </c>
      <c r="J71" s="70">
        <v>1</v>
      </c>
      <c r="K71" s="32" t="s">
        <v>486</v>
      </c>
      <c r="M71" s="19"/>
    </row>
    <row r="72" spans="1:14" x14ac:dyDescent="0.25">
      <c r="A72" s="32" t="s">
        <v>199</v>
      </c>
      <c r="B72" s="32" t="s">
        <v>115</v>
      </c>
      <c r="C72" s="32" t="s">
        <v>474</v>
      </c>
      <c r="D72" s="68" t="s">
        <v>390</v>
      </c>
      <c r="E72" s="68" t="s">
        <v>390</v>
      </c>
      <c r="F72" s="69" t="s">
        <v>390</v>
      </c>
      <c r="G72" s="70">
        <v>0</v>
      </c>
      <c r="H72" s="71" t="s">
        <v>390</v>
      </c>
      <c r="I72" s="72">
        <v>0</v>
      </c>
      <c r="J72" s="70">
        <v>1</v>
      </c>
      <c r="K72" s="32" t="s">
        <v>486</v>
      </c>
      <c r="M72" s="19"/>
    </row>
    <row r="73" spans="1:14" x14ac:dyDescent="0.25">
      <c r="A73" s="32" t="s">
        <v>130</v>
      </c>
      <c r="B73" s="32" t="s">
        <v>115</v>
      </c>
      <c r="C73" s="32" t="s">
        <v>474</v>
      </c>
      <c r="D73" s="68" t="s">
        <v>440</v>
      </c>
      <c r="E73" s="68" t="s">
        <v>440</v>
      </c>
      <c r="F73" s="112">
        <v>4</v>
      </c>
      <c r="G73" s="70">
        <v>1</v>
      </c>
      <c r="H73" s="32">
        <v>4</v>
      </c>
      <c r="I73" s="72">
        <v>1</v>
      </c>
      <c r="J73" s="70">
        <v>1</v>
      </c>
      <c r="K73" s="32" t="s">
        <v>486</v>
      </c>
      <c r="M73" s="19"/>
    </row>
    <row r="74" spans="1:14" x14ac:dyDescent="0.25">
      <c r="A74" s="32" t="s">
        <v>194</v>
      </c>
      <c r="B74" s="32" t="s">
        <v>115</v>
      </c>
      <c r="C74" s="32" t="s">
        <v>474</v>
      </c>
      <c r="D74" s="68" t="s">
        <v>336</v>
      </c>
      <c r="E74" s="68" t="s">
        <v>336</v>
      </c>
      <c r="F74" s="69">
        <v>30</v>
      </c>
      <c r="G74" s="70"/>
      <c r="H74" s="71">
        <v>30</v>
      </c>
      <c r="I74" s="72">
        <v>0</v>
      </c>
      <c r="J74" s="70">
        <v>1</v>
      </c>
      <c r="K74" s="32" t="s">
        <v>486</v>
      </c>
      <c r="M74" s="19"/>
    </row>
    <row r="75" spans="1:14" x14ac:dyDescent="0.25">
      <c r="A75" s="34" t="s">
        <v>122</v>
      </c>
      <c r="B75" s="34" t="s">
        <v>369</v>
      </c>
      <c r="C75" s="34" t="s">
        <v>485</v>
      </c>
      <c r="D75" s="78" t="s">
        <v>370</v>
      </c>
      <c r="E75" s="78" t="s">
        <v>371</v>
      </c>
      <c r="F75" s="79">
        <f>MEDIAN(1,2.8)</f>
        <v>1.9</v>
      </c>
      <c r="G75" s="80">
        <f>1.8/2</f>
        <v>0.9</v>
      </c>
      <c r="H75" s="81" t="s">
        <v>371</v>
      </c>
      <c r="I75" s="82">
        <v>0</v>
      </c>
      <c r="J75" s="80"/>
      <c r="K75" s="34" t="s">
        <v>486</v>
      </c>
      <c r="M75" s="19"/>
    </row>
    <row r="76" spans="1:14" x14ac:dyDescent="0.25">
      <c r="A76" s="34" t="s">
        <v>245</v>
      </c>
      <c r="B76" s="34" t="s">
        <v>403</v>
      </c>
      <c r="C76" s="34" t="s">
        <v>485</v>
      </c>
      <c r="D76" s="78" t="s">
        <v>359</v>
      </c>
      <c r="E76" s="78" t="s">
        <v>404</v>
      </c>
      <c r="F76" s="79" t="s">
        <v>359</v>
      </c>
      <c r="G76" s="80">
        <v>0</v>
      </c>
      <c r="H76" s="81" t="s">
        <v>404</v>
      </c>
      <c r="I76" s="82">
        <v>0</v>
      </c>
      <c r="J76" s="80"/>
      <c r="K76" s="34" t="s">
        <v>486</v>
      </c>
    </row>
    <row r="77" spans="1:14" x14ac:dyDescent="0.25">
      <c r="A77" s="37" t="s">
        <v>160</v>
      </c>
      <c r="B77" s="37" t="s">
        <v>447</v>
      </c>
      <c r="C77" s="37" t="s">
        <v>482</v>
      </c>
      <c r="D77" s="113" t="s">
        <v>448</v>
      </c>
      <c r="E77" s="113" t="s">
        <v>352</v>
      </c>
      <c r="F77" s="114">
        <v>77.5</v>
      </c>
      <c r="G77" s="115">
        <v>2.5</v>
      </c>
      <c r="H77" s="116" t="s">
        <v>352</v>
      </c>
      <c r="I77" s="117">
        <v>0</v>
      </c>
      <c r="J77" s="115"/>
      <c r="K77" s="37" t="s">
        <v>486</v>
      </c>
    </row>
    <row r="78" spans="1:14" x14ac:dyDescent="0.25">
      <c r="A78" t="s">
        <v>205</v>
      </c>
      <c r="B78" t="s">
        <v>59</v>
      </c>
      <c r="C78" s="21" t="s">
        <v>471</v>
      </c>
      <c r="D78" s="26">
        <v>50</v>
      </c>
      <c r="E78" s="26">
        <v>50</v>
      </c>
      <c r="F78" s="18">
        <v>50</v>
      </c>
      <c r="G78" s="19">
        <v>0</v>
      </c>
      <c r="H78" s="19">
        <v>50</v>
      </c>
      <c r="I78" s="17">
        <v>0</v>
      </c>
      <c r="J78" s="16">
        <v>1</v>
      </c>
      <c r="K78" t="s">
        <v>486</v>
      </c>
      <c r="M78" s="19"/>
      <c r="N78" s="19"/>
    </row>
    <row r="79" spans="1:14" x14ac:dyDescent="0.25">
      <c r="A79" t="s">
        <v>239</v>
      </c>
      <c r="B79" t="s">
        <v>59</v>
      </c>
      <c r="C79" s="21" t="s">
        <v>471</v>
      </c>
      <c r="D79" s="26">
        <v>60</v>
      </c>
      <c r="E79" s="26">
        <v>60</v>
      </c>
      <c r="F79" s="18">
        <v>60</v>
      </c>
      <c r="G79" s="19">
        <v>0</v>
      </c>
      <c r="H79" s="19">
        <v>60</v>
      </c>
      <c r="I79" s="17">
        <v>0</v>
      </c>
      <c r="J79" s="16">
        <v>1</v>
      </c>
      <c r="K79" t="s">
        <v>486</v>
      </c>
      <c r="M79" s="19"/>
      <c r="N79" s="19"/>
    </row>
    <row r="80" spans="1:14" x14ac:dyDescent="0.25">
      <c r="A80" t="s">
        <v>175</v>
      </c>
      <c r="B80" t="s">
        <v>59</v>
      </c>
      <c r="C80" s="21" t="s">
        <v>471</v>
      </c>
      <c r="D80" s="26">
        <v>50</v>
      </c>
      <c r="E80" s="26">
        <v>50</v>
      </c>
      <c r="F80" s="18">
        <v>50</v>
      </c>
      <c r="G80" s="19">
        <v>0</v>
      </c>
      <c r="H80" s="19">
        <v>50</v>
      </c>
      <c r="I80" s="17">
        <v>0</v>
      </c>
      <c r="J80" s="16">
        <v>1</v>
      </c>
      <c r="K80" t="s">
        <v>486</v>
      </c>
      <c r="M80" s="19"/>
      <c r="N80" s="19"/>
    </row>
    <row r="81" spans="1:14" x14ac:dyDescent="0.25">
      <c r="A81" t="s">
        <v>58</v>
      </c>
      <c r="B81" t="s">
        <v>59</v>
      </c>
      <c r="C81" s="21" t="s">
        <v>471</v>
      </c>
      <c r="D81" s="26" t="s">
        <v>336</v>
      </c>
      <c r="E81" s="26" t="s">
        <v>336</v>
      </c>
      <c r="F81" s="18" t="s">
        <v>336</v>
      </c>
      <c r="G81" s="16">
        <v>0</v>
      </c>
      <c r="H81" s="19" t="s">
        <v>336</v>
      </c>
      <c r="I81" s="17">
        <v>0</v>
      </c>
      <c r="J81" s="16">
        <v>1</v>
      </c>
      <c r="K81" t="s">
        <v>486</v>
      </c>
    </row>
    <row r="82" spans="1:14" x14ac:dyDescent="0.25">
      <c r="A82" t="s">
        <v>85</v>
      </c>
      <c r="B82" t="s">
        <v>59</v>
      </c>
      <c r="C82" s="21" t="s">
        <v>471</v>
      </c>
      <c r="D82" s="26" t="s">
        <v>345</v>
      </c>
      <c r="E82" s="26" t="s">
        <v>345</v>
      </c>
      <c r="F82" s="18">
        <f>MEDIAN(46.5,30)</f>
        <v>38.25</v>
      </c>
      <c r="G82" s="16">
        <v>8.25</v>
      </c>
      <c r="H82" s="19">
        <f>MEDIAN(46.5,30)</f>
        <v>38.25</v>
      </c>
      <c r="I82" s="17">
        <v>8.25</v>
      </c>
      <c r="J82" s="16">
        <v>1</v>
      </c>
      <c r="K82" t="s">
        <v>486</v>
      </c>
      <c r="M82" s="19"/>
      <c r="N82" s="19"/>
    </row>
    <row r="83" spans="1:14" x14ac:dyDescent="0.25">
      <c r="A83" s="50" t="s">
        <v>85</v>
      </c>
      <c r="B83" s="50" t="s">
        <v>59</v>
      </c>
      <c r="C83" s="21" t="s">
        <v>471</v>
      </c>
      <c r="D83" s="26" t="s">
        <v>345</v>
      </c>
      <c r="E83" s="26" t="s">
        <v>345</v>
      </c>
      <c r="F83" s="18">
        <f>MEDIAN(46.5,30)</f>
        <v>38.25</v>
      </c>
      <c r="G83" s="16">
        <v>8.25</v>
      </c>
      <c r="H83" s="19">
        <f>MEDIAN(46.5,30)</f>
        <v>38.25</v>
      </c>
      <c r="I83" s="17">
        <v>8.25</v>
      </c>
      <c r="J83" s="16">
        <v>1</v>
      </c>
      <c r="K83" t="s">
        <v>486</v>
      </c>
      <c r="M83" s="19"/>
      <c r="N83" s="19"/>
    </row>
    <row r="84" spans="1:14" x14ac:dyDescent="0.25">
      <c r="A84" t="s">
        <v>81</v>
      </c>
      <c r="B84" t="s">
        <v>59</v>
      </c>
      <c r="C84" s="21" t="s">
        <v>471</v>
      </c>
      <c r="D84" s="26" t="s">
        <v>348</v>
      </c>
      <c r="E84" s="26" t="s">
        <v>348</v>
      </c>
      <c r="F84" s="18">
        <f>MEDIAN(9.8,30)</f>
        <v>19.899999999999999</v>
      </c>
      <c r="G84" s="16">
        <f>(30-9.8)/2</f>
        <v>10.1</v>
      </c>
      <c r="H84" s="19">
        <f>MEDIAN(9.8,30)</f>
        <v>19.899999999999999</v>
      </c>
      <c r="I84" s="17">
        <f>(30-9.8)/2</f>
        <v>10.1</v>
      </c>
      <c r="J84" s="16">
        <v>1</v>
      </c>
      <c r="K84" t="s">
        <v>486</v>
      </c>
    </row>
    <row r="85" spans="1:14" x14ac:dyDescent="0.25">
      <c r="A85" t="s">
        <v>156</v>
      </c>
      <c r="B85" t="s">
        <v>59</v>
      </c>
      <c r="C85" s="21" t="s">
        <v>471</v>
      </c>
      <c r="D85" s="26" t="s">
        <v>355</v>
      </c>
      <c r="E85" s="26" t="s">
        <v>355</v>
      </c>
      <c r="F85" s="18" t="s">
        <v>355</v>
      </c>
      <c r="G85" s="16">
        <v>0</v>
      </c>
      <c r="H85" s="19" t="s">
        <v>355</v>
      </c>
      <c r="I85" s="17">
        <v>0</v>
      </c>
      <c r="J85" s="16">
        <v>1</v>
      </c>
      <c r="K85" t="s">
        <v>486</v>
      </c>
      <c r="M85" s="19"/>
      <c r="N85" s="19"/>
    </row>
    <row r="86" spans="1:14" x14ac:dyDescent="0.25">
      <c r="A86" t="s">
        <v>250</v>
      </c>
      <c r="B86" t="s">
        <v>59</v>
      </c>
      <c r="C86" s="21" t="s">
        <v>471</v>
      </c>
      <c r="D86" s="26" t="s">
        <v>372</v>
      </c>
      <c r="E86" s="26" t="s">
        <v>372</v>
      </c>
      <c r="F86" s="18">
        <v>40</v>
      </c>
      <c r="G86" s="16">
        <v>10</v>
      </c>
      <c r="H86" s="19">
        <v>40</v>
      </c>
      <c r="I86" s="17">
        <v>10</v>
      </c>
      <c r="J86" s="16">
        <v>1</v>
      </c>
      <c r="K86" t="s">
        <v>486</v>
      </c>
    </row>
    <row r="87" spans="1:14" x14ac:dyDescent="0.25">
      <c r="A87" t="s">
        <v>274</v>
      </c>
      <c r="B87" t="s">
        <v>59</v>
      </c>
      <c r="C87" s="21" t="s">
        <v>471</v>
      </c>
      <c r="D87" s="26" t="s">
        <v>387</v>
      </c>
      <c r="E87" s="26" t="s">
        <v>387</v>
      </c>
      <c r="F87" s="18">
        <v>60</v>
      </c>
      <c r="G87" s="16">
        <v>0</v>
      </c>
      <c r="H87" s="19">
        <v>60</v>
      </c>
      <c r="I87" s="17">
        <v>0</v>
      </c>
      <c r="J87" s="16">
        <v>1</v>
      </c>
      <c r="K87" t="s">
        <v>486</v>
      </c>
    </row>
    <row r="88" spans="1:14" x14ac:dyDescent="0.25">
      <c r="A88" t="s">
        <v>179</v>
      </c>
      <c r="B88" t="s">
        <v>59</v>
      </c>
      <c r="C88" s="21" t="s">
        <v>471</v>
      </c>
      <c r="D88" s="26" t="s">
        <v>387</v>
      </c>
      <c r="E88" s="26" t="s">
        <v>387</v>
      </c>
      <c r="F88" s="18" t="s">
        <v>387</v>
      </c>
      <c r="G88" s="16">
        <v>0</v>
      </c>
      <c r="H88" s="19" t="s">
        <v>387</v>
      </c>
      <c r="I88" s="17">
        <v>0</v>
      </c>
      <c r="J88" s="16">
        <v>1</v>
      </c>
      <c r="K88" t="s">
        <v>486</v>
      </c>
    </row>
    <row r="89" spans="1:14" x14ac:dyDescent="0.25">
      <c r="A89" s="153" t="s">
        <v>163</v>
      </c>
      <c r="B89" s="153" t="s">
        <v>59</v>
      </c>
      <c r="C89" s="153" t="s">
        <v>475</v>
      </c>
      <c r="D89" s="154" t="s">
        <v>336</v>
      </c>
      <c r="E89" s="154" t="s">
        <v>336</v>
      </c>
      <c r="F89" s="155" t="s">
        <v>336</v>
      </c>
      <c r="G89" s="156">
        <v>0</v>
      </c>
      <c r="H89" s="157" t="s">
        <v>336</v>
      </c>
      <c r="I89" s="158">
        <v>0</v>
      </c>
      <c r="J89" s="156">
        <v>1</v>
      </c>
      <c r="K89" s="153" t="s">
        <v>486</v>
      </c>
    </row>
    <row r="90" spans="1:14" x14ac:dyDescent="0.25">
      <c r="A90" t="s">
        <v>231</v>
      </c>
      <c r="B90" t="s">
        <v>59</v>
      </c>
      <c r="C90" s="21" t="s">
        <v>471</v>
      </c>
      <c r="D90" s="26" t="s">
        <v>352</v>
      </c>
      <c r="E90" s="26" t="s">
        <v>352</v>
      </c>
      <c r="F90" s="18" t="s">
        <v>352</v>
      </c>
      <c r="G90" s="16">
        <v>0</v>
      </c>
      <c r="H90" s="19" t="s">
        <v>352</v>
      </c>
      <c r="I90" s="17">
        <v>0</v>
      </c>
      <c r="J90" s="16">
        <v>1</v>
      </c>
      <c r="K90" t="s">
        <v>486</v>
      </c>
    </row>
    <row r="91" spans="1:14" x14ac:dyDescent="0.25">
      <c r="A91" t="s">
        <v>231</v>
      </c>
      <c r="B91" t="s">
        <v>59</v>
      </c>
      <c r="C91" s="21" t="s">
        <v>471</v>
      </c>
      <c r="D91" s="26" t="s">
        <v>352</v>
      </c>
      <c r="E91" s="26" t="s">
        <v>352</v>
      </c>
      <c r="F91" s="18" t="s">
        <v>352</v>
      </c>
      <c r="G91" s="16">
        <v>0</v>
      </c>
      <c r="H91" s="19" t="s">
        <v>352</v>
      </c>
      <c r="I91" s="17">
        <v>0</v>
      </c>
      <c r="J91" s="16">
        <v>1</v>
      </c>
      <c r="K91" t="s">
        <v>486</v>
      </c>
      <c r="M91" s="19"/>
    </row>
    <row r="92" spans="1:14" x14ac:dyDescent="0.25">
      <c r="A92" t="s">
        <v>182</v>
      </c>
      <c r="B92" t="s">
        <v>59</v>
      </c>
      <c r="C92" s="21" t="s">
        <v>471</v>
      </c>
      <c r="D92" s="26" t="s">
        <v>387</v>
      </c>
      <c r="E92" s="26" t="s">
        <v>387</v>
      </c>
      <c r="F92" s="18" t="s">
        <v>387</v>
      </c>
      <c r="G92" s="16">
        <v>0</v>
      </c>
      <c r="H92" s="19" t="s">
        <v>387</v>
      </c>
      <c r="I92" s="17">
        <v>0</v>
      </c>
      <c r="J92" s="16">
        <v>1</v>
      </c>
      <c r="K92" t="s">
        <v>486</v>
      </c>
    </row>
    <row r="93" spans="1:14" x14ac:dyDescent="0.25">
      <c r="A93" t="s">
        <v>207</v>
      </c>
      <c r="B93" t="s">
        <v>59</v>
      </c>
      <c r="C93" s="21" t="s">
        <v>471</v>
      </c>
      <c r="D93" s="26" t="s">
        <v>352</v>
      </c>
      <c r="E93" s="26" t="s">
        <v>352</v>
      </c>
      <c r="F93" s="19" t="s">
        <v>352</v>
      </c>
      <c r="G93" s="16">
        <v>0</v>
      </c>
      <c r="H93" s="19" t="s">
        <v>352</v>
      </c>
      <c r="I93" s="17">
        <v>0</v>
      </c>
      <c r="J93" s="16">
        <v>1</v>
      </c>
      <c r="K93" t="s">
        <v>486</v>
      </c>
    </row>
    <row r="94" spans="1:14" x14ac:dyDescent="0.25">
      <c r="A94" s="50" t="s">
        <v>207</v>
      </c>
      <c r="B94" s="50" t="s">
        <v>59</v>
      </c>
      <c r="C94" s="21" t="s">
        <v>471</v>
      </c>
      <c r="D94" s="26" t="s">
        <v>352</v>
      </c>
      <c r="E94" s="26" t="s">
        <v>352</v>
      </c>
      <c r="F94" s="19" t="s">
        <v>352</v>
      </c>
      <c r="G94" s="16">
        <v>0</v>
      </c>
      <c r="H94" s="19" t="s">
        <v>352</v>
      </c>
      <c r="I94" s="16">
        <v>0</v>
      </c>
      <c r="J94" s="16">
        <v>1</v>
      </c>
      <c r="K94" t="s">
        <v>486</v>
      </c>
    </row>
    <row r="95" spans="1:14" x14ac:dyDescent="0.25">
      <c r="A95" t="s">
        <v>117</v>
      </c>
      <c r="B95" t="s">
        <v>59</v>
      </c>
      <c r="C95" s="21" t="s">
        <v>471</v>
      </c>
      <c r="D95" s="26" t="s">
        <v>371</v>
      </c>
      <c r="E95" s="26" t="s">
        <v>371</v>
      </c>
      <c r="F95" s="18" t="s">
        <v>371</v>
      </c>
      <c r="G95" s="16">
        <v>0</v>
      </c>
      <c r="H95" s="19" t="s">
        <v>371</v>
      </c>
      <c r="I95" s="16">
        <v>0</v>
      </c>
      <c r="J95" s="16">
        <v>1</v>
      </c>
      <c r="K95" t="s">
        <v>486</v>
      </c>
    </row>
    <row r="96" spans="1:14" x14ac:dyDescent="0.25">
      <c r="A96" t="s">
        <v>190</v>
      </c>
      <c r="B96" t="s">
        <v>59</v>
      </c>
      <c r="C96" s="21" t="s">
        <v>471</v>
      </c>
      <c r="D96" s="26" t="s">
        <v>352</v>
      </c>
      <c r="E96" s="26" t="s">
        <v>352</v>
      </c>
      <c r="F96" s="18" t="s">
        <v>352</v>
      </c>
      <c r="G96" s="16">
        <v>0</v>
      </c>
      <c r="H96" s="19" t="s">
        <v>352</v>
      </c>
      <c r="I96" s="16">
        <v>0</v>
      </c>
      <c r="J96" s="16">
        <v>1</v>
      </c>
      <c r="K96" t="s">
        <v>486</v>
      </c>
    </row>
    <row r="97" spans="1:11" x14ac:dyDescent="0.25">
      <c r="A97" t="s">
        <v>197</v>
      </c>
      <c r="B97" t="s">
        <v>59</v>
      </c>
      <c r="C97" s="21" t="s">
        <v>471</v>
      </c>
      <c r="D97" s="26" t="s">
        <v>352</v>
      </c>
      <c r="E97" s="26" t="s">
        <v>352</v>
      </c>
      <c r="F97" s="18" t="s">
        <v>352</v>
      </c>
      <c r="G97" s="16">
        <v>0</v>
      </c>
      <c r="H97" s="19" t="s">
        <v>352</v>
      </c>
      <c r="I97" s="17">
        <v>0</v>
      </c>
      <c r="J97" s="16">
        <v>1</v>
      </c>
      <c r="K97" t="s">
        <v>486</v>
      </c>
    </row>
    <row r="98" spans="1:11" x14ac:dyDescent="0.25">
      <c r="A98" t="s">
        <v>226</v>
      </c>
      <c r="B98" t="s">
        <v>59</v>
      </c>
      <c r="C98" s="21" t="s">
        <v>471</v>
      </c>
      <c r="D98" s="26" t="s">
        <v>387</v>
      </c>
      <c r="E98" s="26" t="s">
        <v>387</v>
      </c>
      <c r="F98" s="18" t="s">
        <v>387</v>
      </c>
      <c r="G98" s="16">
        <v>0</v>
      </c>
      <c r="H98" s="19" t="s">
        <v>387</v>
      </c>
      <c r="I98" s="17">
        <v>0</v>
      </c>
      <c r="J98">
        <v>1</v>
      </c>
      <c r="K98" t="s">
        <v>486</v>
      </c>
    </row>
    <row r="99" spans="1:11" x14ac:dyDescent="0.25">
      <c r="A99" t="s">
        <v>72</v>
      </c>
      <c r="B99" t="s">
        <v>59</v>
      </c>
      <c r="C99" s="21" t="s">
        <v>471</v>
      </c>
      <c r="D99" s="26" t="s">
        <v>336</v>
      </c>
      <c r="E99" s="26" t="s">
        <v>336</v>
      </c>
      <c r="F99" s="18">
        <v>30</v>
      </c>
      <c r="G99" s="16">
        <v>0</v>
      </c>
      <c r="H99" s="19" t="s">
        <v>336</v>
      </c>
      <c r="I99" s="17">
        <v>0</v>
      </c>
      <c r="J99" s="16">
        <v>1</v>
      </c>
      <c r="K99" t="s">
        <v>486</v>
      </c>
    </row>
    <row r="100" spans="1:11" x14ac:dyDescent="0.25">
      <c r="A100" s="35" t="s">
        <v>193</v>
      </c>
      <c r="B100" s="35" t="s">
        <v>139</v>
      </c>
      <c r="C100" s="35" t="s">
        <v>477</v>
      </c>
      <c r="D100" s="97" t="s">
        <v>375</v>
      </c>
      <c r="E100" s="97" t="s">
        <v>375</v>
      </c>
      <c r="F100" s="98">
        <v>55</v>
      </c>
      <c r="G100" s="99">
        <v>5</v>
      </c>
      <c r="H100" s="100">
        <v>55</v>
      </c>
      <c r="I100" s="101">
        <v>5</v>
      </c>
      <c r="J100" s="99">
        <v>1</v>
      </c>
      <c r="K100" s="35" t="s">
        <v>486</v>
      </c>
    </row>
    <row r="101" spans="1:11" x14ac:dyDescent="0.25">
      <c r="A101" s="35" t="s">
        <v>138</v>
      </c>
      <c r="B101" s="35" t="s">
        <v>139</v>
      </c>
      <c r="C101" s="35" t="s">
        <v>477</v>
      </c>
      <c r="D101" s="97" t="s">
        <v>417</v>
      </c>
      <c r="E101" s="97" t="s">
        <v>417</v>
      </c>
      <c r="F101" s="98">
        <v>86.5</v>
      </c>
      <c r="G101" s="99">
        <v>12.5</v>
      </c>
      <c r="H101" s="100">
        <v>86.5</v>
      </c>
      <c r="I101" s="101">
        <v>12.5</v>
      </c>
      <c r="J101" s="99">
        <v>1</v>
      </c>
      <c r="K101" s="35" t="s">
        <v>486</v>
      </c>
    </row>
  </sheetData>
  <sortState xmlns:xlrd2="http://schemas.microsoft.com/office/spreadsheetml/2017/richdata2" ref="A2:R125">
    <sortCondition ref="B1:B125"/>
  </sortState>
  <phoneticPr fontId="19" type="noConversion"/>
  <conditionalFormatting sqref="C66 C68">
    <cfRule type="cellIs" dxfId="13" priority="7" operator="equal">
      <formula>"SXT"</formula>
    </cfRule>
  </conditionalFormatting>
  <conditionalFormatting sqref="C71:C74">
    <cfRule type="cellIs" dxfId="12" priority="1" operator="equal">
      <formula>"SXT"</formula>
    </cfRule>
  </conditionalFormatting>
  <conditionalFormatting sqref="N1 N61:N1048576">
    <cfRule type="cellIs" dxfId="11" priority="3" operator="equal">
      <formula>45</formula>
    </cfRule>
  </conditionalFormatting>
  <conditionalFormatting sqref="AD10:AD11">
    <cfRule type="cellIs" dxfId="10" priority="4" operator="equal">
      <formula>"SXT"</formula>
    </cfRule>
  </conditionalFormatting>
  <conditionalFormatting sqref="AD15">
    <cfRule type="cellIs" dxfId="9" priority="12" operator="equal">
      <formula>"SXT"</formula>
    </cfRule>
  </conditionalFormatting>
  <conditionalFormatting sqref="AD17">
    <cfRule type="cellIs" dxfId="8" priority="11" operator="equal">
      <formula>"SXT"</formula>
    </cfRule>
  </conditionalFormatting>
  <conditionalFormatting sqref="V8:V19 V2:V6">
    <cfRule type="duplicateValues" dxfId="7" priority="16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9B7D2-D426-4555-B604-70278C3BBDE9}">
  <dimension ref="A1:M119"/>
  <sheetViews>
    <sheetView zoomScale="80" zoomScaleNormal="80" workbookViewId="0">
      <selection activeCell="K5" sqref="K5"/>
    </sheetView>
  </sheetViews>
  <sheetFormatPr defaultRowHeight="15" x14ac:dyDescent="0.25"/>
  <cols>
    <col min="1" max="2" width="16.140625" customWidth="1"/>
    <col min="3" max="3" width="13.85546875" style="9" bestFit="1" customWidth="1"/>
    <col min="4" max="4" width="31" bestFit="1" customWidth="1"/>
    <col min="5" max="5" width="37.28515625" style="10" bestFit="1" customWidth="1"/>
    <col min="6" max="6" width="14.28515625" style="11" bestFit="1" customWidth="1"/>
    <col min="7" max="7" width="20.85546875" style="9" customWidth="1"/>
    <col min="8" max="8" width="26.28515625" style="9" bestFit="1" customWidth="1"/>
    <col min="9" max="9" width="15.7109375" style="9" bestFit="1" customWidth="1"/>
    <col min="10" max="11" width="15.7109375" style="9" customWidth="1"/>
    <col min="12" max="12" width="37.28515625" style="10" bestFit="1" customWidth="1"/>
    <col min="13" max="13" width="12.140625" style="11" bestFit="1" customWidth="1"/>
  </cols>
  <sheetData>
    <row r="1" spans="1:13" ht="30" x14ac:dyDescent="0.25">
      <c r="A1" s="2" t="s">
        <v>0</v>
      </c>
      <c r="B1" s="2" t="s">
        <v>1</v>
      </c>
      <c r="C1" s="6" t="s">
        <v>312</v>
      </c>
      <c r="D1" s="2" t="s">
        <v>315</v>
      </c>
      <c r="E1" s="7" t="s">
        <v>316</v>
      </c>
      <c r="F1" s="8" t="s">
        <v>317</v>
      </c>
      <c r="G1" s="6" t="s">
        <v>318</v>
      </c>
      <c r="H1" s="6" t="s">
        <v>319</v>
      </c>
      <c r="I1" s="6" t="s">
        <v>503</v>
      </c>
      <c r="J1" s="6" t="s">
        <v>902</v>
      </c>
      <c r="K1" s="6"/>
      <c r="L1" s="7" t="s">
        <v>549</v>
      </c>
      <c r="M1" s="8" t="s">
        <v>550</v>
      </c>
    </row>
    <row r="2" spans="1:13" x14ac:dyDescent="0.25">
      <c r="A2" t="s">
        <v>68</v>
      </c>
      <c r="B2" t="s">
        <v>6</v>
      </c>
      <c r="C2" s="9">
        <v>3</v>
      </c>
      <c r="D2" t="s">
        <v>321</v>
      </c>
      <c r="E2" s="12" t="s">
        <v>526</v>
      </c>
      <c r="F2" s="11">
        <v>39</v>
      </c>
      <c r="G2" s="9">
        <v>21</v>
      </c>
      <c r="H2" s="9" t="s">
        <v>322</v>
      </c>
      <c r="I2" s="9" t="s">
        <v>554</v>
      </c>
      <c r="J2" s="9" t="s">
        <v>324</v>
      </c>
      <c r="K2" s="9">
        <f>118-14</f>
        <v>104</v>
      </c>
      <c r="L2" s="12" t="s">
        <v>422</v>
      </c>
      <c r="M2" s="11">
        <v>1</v>
      </c>
    </row>
    <row r="3" spans="1:13" x14ac:dyDescent="0.25">
      <c r="A3" t="s">
        <v>68</v>
      </c>
      <c r="B3" t="s">
        <v>6</v>
      </c>
      <c r="C3" s="9">
        <v>3</v>
      </c>
      <c r="D3" t="s">
        <v>172</v>
      </c>
      <c r="E3" s="10" t="s">
        <v>690</v>
      </c>
      <c r="F3" s="11">
        <v>64</v>
      </c>
      <c r="G3" s="9">
        <v>4</v>
      </c>
      <c r="H3" s="9" t="s">
        <v>324</v>
      </c>
      <c r="I3" s="31" t="s">
        <v>473</v>
      </c>
      <c r="J3" s="9" t="s">
        <v>322</v>
      </c>
      <c r="K3">
        <v>14</v>
      </c>
      <c r="L3" s="12" t="s">
        <v>400</v>
      </c>
      <c r="M3" s="11">
        <v>2</v>
      </c>
    </row>
    <row r="4" spans="1:13" x14ac:dyDescent="0.25">
      <c r="A4" t="s">
        <v>242</v>
      </c>
      <c r="B4" t="s">
        <v>40</v>
      </c>
      <c r="C4" s="9">
        <v>1</v>
      </c>
      <c r="D4" t="s">
        <v>326</v>
      </c>
      <c r="E4" s="12" t="s">
        <v>244</v>
      </c>
      <c r="F4" s="11">
        <v>4</v>
      </c>
      <c r="G4" s="9">
        <v>1</v>
      </c>
      <c r="H4" s="9" t="s">
        <v>322</v>
      </c>
      <c r="I4" s="9" t="s">
        <v>554</v>
      </c>
      <c r="K4" s="9">
        <f>14/118</f>
        <v>0.11864406779661017</v>
      </c>
      <c r="L4" s="12" t="s">
        <v>514</v>
      </c>
      <c r="M4" s="11">
        <v>3</v>
      </c>
    </row>
    <row r="5" spans="1:13" x14ac:dyDescent="0.25">
      <c r="A5" t="s">
        <v>33</v>
      </c>
      <c r="B5" t="s">
        <v>327</v>
      </c>
      <c r="C5" s="9">
        <v>7</v>
      </c>
      <c r="D5" t="s">
        <v>35</v>
      </c>
      <c r="E5" s="12" t="s">
        <v>36</v>
      </c>
      <c r="F5" s="11">
        <v>38</v>
      </c>
      <c r="G5" s="9">
        <v>4</v>
      </c>
      <c r="H5" s="9" t="s">
        <v>324</v>
      </c>
      <c r="I5" s="23" t="s">
        <v>476</v>
      </c>
      <c r="J5"/>
      <c r="K5"/>
      <c r="L5" s="12" t="s">
        <v>244</v>
      </c>
      <c r="M5" s="11">
        <v>4</v>
      </c>
    </row>
    <row r="6" spans="1:13" x14ac:dyDescent="0.25">
      <c r="A6" t="s">
        <v>185</v>
      </c>
      <c r="B6" t="s">
        <v>6</v>
      </c>
      <c r="C6" s="9">
        <v>3</v>
      </c>
      <c r="D6" t="s">
        <v>326</v>
      </c>
      <c r="E6" s="12" t="s">
        <v>517</v>
      </c>
      <c r="F6" s="11">
        <v>11</v>
      </c>
      <c r="G6" s="9">
        <v>25</v>
      </c>
      <c r="H6" s="9" t="s">
        <v>324</v>
      </c>
      <c r="I6" s="31" t="s">
        <v>473</v>
      </c>
      <c r="J6"/>
      <c r="K6"/>
      <c r="L6" s="12" t="s">
        <v>97</v>
      </c>
      <c r="M6" s="11">
        <v>5</v>
      </c>
    </row>
    <row r="7" spans="1:13" x14ac:dyDescent="0.25">
      <c r="A7" t="s">
        <v>205</v>
      </c>
      <c r="B7" t="s">
        <v>59</v>
      </c>
      <c r="C7" s="9">
        <v>2</v>
      </c>
      <c r="D7" t="s">
        <v>35</v>
      </c>
      <c r="E7" s="12" t="s">
        <v>36</v>
      </c>
      <c r="F7" s="11">
        <v>38</v>
      </c>
      <c r="G7" s="9">
        <v>1</v>
      </c>
      <c r="H7" s="9" t="s">
        <v>324</v>
      </c>
      <c r="I7" s="21" t="s">
        <v>471</v>
      </c>
      <c r="J7" s="21"/>
      <c r="K7" s="21"/>
      <c r="L7" s="12" t="s">
        <v>135</v>
      </c>
      <c r="M7" s="11">
        <v>6</v>
      </c>
    </row>
    <row r="8" spans="1:13" x14ac:dyDescent="0.25">
      <c r="A8" t="s">
        <v>239</v>
      </c>
      <c r="B8" t="s">
        <v>59</v>
      </c>
      <c r="C8" s="9">
        <v>2</v>
      </c>
      <c r="D8" t="s">
        <v>329</v>
      </c>
      <c r="E8" s="10" t="s">
        <v>542</v>
      </c>
      <c r="F8" s="11">
        <v>71</v>
      </c>
      <c r="G8" s="9">
        <v>1</v>
      </c>
      <c r="H8" s="9" t="s">
        <v>324</v>
      </c>
      <c r="I8" s="21" t="s">
        <v>471</v>
      </c>
      <c r="J8" s="21"/>
      <c r="K8" s="21"/>
      <c r="L8" s="10" t="s">
        <v>515</v>
      </c>
      <c r="M8" s="11">
        <v>7</v>
      </c>
    </row>
    <row r="9" spans="1:13" x14ac:dyDescent="0.25">
      <c r="A9" t="s">
        <v>27</v>
      </c>
      <c r="B9" t="s">
        <v>330</v>
      </c>
      <c r="C9" s="9">
        <v>7</v>
      </c>
      <c r="D9" t="s">
        <v>331</v>
      </c>
      <c r="E9" s="10" t="s">
        <v>29</v>
      </c>
      <c r="F9" s="11">
        <v>80</v>
      </c>
      <c r="G9" s="9">
        <v>2</v>
      </c>
      <c r="H9" s="9" t="s">
        <v>324</v>
      </c>
      <c r="I9" s="23" t="s">
        <v>476</v>
      </c>
      <c r="J9"/>
      <c r="K9"/>
      <c r="L9" s="10" t="s">
        <v>516</v>
      </c>
      <c r="M9" s="11">
        <v>8</v>
      </c>
    </row>
    <row r="10" spans="1:13" x14ac:dyDescent="0.25">
      <c r="A10" t="s">
        <v>175</v>
      </c>
      <c r="B10" t="s">
        <v>59</v>
      </c>
      <c r="C10" s="9">
        <v>2</v>
      </c>
      <c r="D10" t="s">
        <v>326</v>
      </c>
      <c r="E10" s="12" t="s">
        <v>519</v>
      </c>
      <c r="F10" s="11">
        <v>13</v>
      </c>
      <c r="G10" s="9">
        <v>40</v>
      </c>
      <c r="H10" s="9" t="s">
        <v>322</v>
      </c>
      <c r="I10" s="9" t="s">
        <v>554</v>
      </c>
      <c r="L10" s="12" t="s">
        <v>418</v>
      </c>
      <c r="M10" s="11">
        <v>9</v>
      </c>
    </row>
    <row r="11" spans="1:13" x14ac:dyDescent="0.25">
      <c r="A11" t="s">
        <v>148</v>
      </c>
      <c r="B11" t="s">
        <v>40</v>
      </c>
      <c r="C11" s="9">
        <v>1</v>
      </c>
      <c r="D11" t="s">
        <v>326</v>
      </c>
      <c r="E11" s="10" t="s">
        <v>515</v>
      </c>
      <c r="F11" s="11">
        <v>7</v>
      </c>
      <c r="G11" s="9">
        <v>2</v>
      </c>
      <c r="H11" s="9" t="s">
        <v>324</v>
      </c>
      <c r="I11" s="30" t="s">
        <v>472</v>
      </c>
      <c r="J11"/>
      <c r="K11"/>
      <c r="L11" s="12" t="s">
        <v>78</v>
      </c>
      <c r="M11" s="11">
        <v>10</v>
      </c>
    </row>
    <row r="12" spans="1:13" x14ac:dyDescent="0.25">
      <c r="A12" t="s">
        <v>105</v>
      </c>
      <c r="B12" t="s">
        <v>332</v>
      </c>
      <c r="C12" s="9">
        <v>5</v>
      </c>
      <c r="D12" t="s">
        <v>12</v>
      </c>
      <c r="E12" s="10" t="s">
        <v>335</v>
      </c>
      <c r="F12" s="11">
        <v>36</v>
      </c>
      <c r="G12" s="9">
        <v>1</v>
      </c>
      <c r="H12" s="9" t="s">
        <v>324</v>
      </c>
      <c r="I12" s="33" t="s">
        <v>481</v>
      </c>
      <c r="J12"/>
      <c r="K12"/>
      <c r="L12" s="12" t="s">
        <v>517</v>
      </c>
      <c r="M12" s="11">
        <v>11</v>
      </c>
    </row>
    <row r="13" spans="1:13" x14ac:dyDescent="0.25">
      <c r="A13" t="s">
        <v>58</v>
      </c>
      <c r="B13" t="s">
        <v>59</v>
      </c>
      <c r="C13" s="9">
        <v>2</v>
      </c>
      <c r="D13" t="s">
        <v>321</v>
      </c>
      <c r="E13" s="12" t="s">
        <v>61</v>
      </c>
      <c r="F13" s="11">
        <v>40</v>
      </c>
      <c r="G13" s="9">
        <v>40</v>
      </c>
      <c r="H13" s="9" t="s">
        <v>322</v>
      </c>
      <c r="I13" s="9" t="s">
        <v>554</v>
      </c>
      <c r="L13" s="10" t="s">
        <v>518</v>
      </c>
      <c r="M13" s="11">
        <v>12</v>
      </c>
    </row>
    <row r="14" spans="1:13" x14ac:dyDescent="0.25">
      <c r="A14" t="s">
        <v>168</v>
      </c>
      <c r="B14" t="s">
        <v>40</v>
      </c>
      <c r="C14" s="9">
        <v>1</v>
      </c>
      <c r="D14" t="s">
        <v>338</v>
      </c>
      <c r="E14" s="12" t="s">
        <v>430</v>
      </c>
      <c r="F14" s="11">
        <v>19</v>
      </c>
      <c r="G14" s="9">
        <v>18</v>
      </c>
      <c r="H14" s="9" t="s">
        <v>324</v>
      </c>
      <c r="I14" s="30" t="s">
        <v>472</v>
      </c>
      <c r="J14"/>
      <c r="K14"/>
      <c r="L14" s="12" t="s">
        <v>519</v>
      </c>
      <c r="M14" s="11">
        <v>13</v>
      </c>
    </row>
    <row r="15" spans="1:13" x14ac:dyDescent="0.25">
      <c r="A15" t="s">
        <v>108</v>
      </c>
      <c r="B15" t="s">
        <v>40</v>
      </c>
      <c r="C15" s="9">
        <v>1</v>
      </c>
      <c r="D15" t="s">
        <v>340</v>
      </c>
      <c r="E15" s="12" t="s">
        <v>514</v>
      </c>
      <c r="F15" s="11">
        <v>3</v>
      </c>
      <c r="G15" s="9">
        <v>7</v>
      </c>
      <c r="H15" s="9" t="s">
        <v>324</v>
      </c>
      <c r="I15" s="30" t="s">
        <v>472</v>
      </c>
      <c r="J15"/>
      <c r="K15"/>
      <c r="L15" s="12" t="s">
        <v>24</v>
      </c>
      <c r="M15" s="11">
        <v>14</v>
      </c>
    </row>
    <row r="16" spans="1:13" x14ac:dyDescent="0.25">
      <c r="A16" t="s">
        <v>219</v>
      </c>
      <c r="B16" t="s">
        <v>341</v>
      </c>
      <c r="C16" s="9">
        <v>8</v>
      </c>
      <c r="D16" t="s">
        <v>344</v>
      </c>
      <c r="E16" s="12" t="s">
        <v>74</v>
      </c>
      <c r="F16" s="11">
        <v>30</v>
      </c>
      <c r="G16" s="9">
        <v>1</v>
      </c>
      <c r="H16" s="9" t="s">
        <v>324</v>
      </c>
      <c r="I16" s="29" t="s">
        <v>480</v>
      </c>
      <c r="J16"/>
      <c r="K16"/>
      <c r="L16" s="12" t="s">
        <v>89</v>
      </c>
      <c r="M16" s="11">
        <v>15</v>
      </c>
    </row>
    <row r="17" spans="1:13" x14ac:dyDescent="0.25">
      <c r="A17" t="s">
        <v>85</v>
      </c>
      <c r="B17" t="s">
        <v>59</v>
      </c>
      <c r="C17" s="9">
        <v>2</v>
      </c>
      <c r="D17" t="s">
        <v>87</v>
      </c>
      <c r="E17" s="10" t="s">
        <v>686</v>
      </c>
      <c r="F17" s="11">
        <v>60</v>
      </c>
      <c r="G17" s="9">
        <v>8</v>
      </c>
      <c r="H17" s="9" t="s">
        <v>324</v>
      </c>
      <c r="I17" s="21" t="s">
        <v>471</v>
      </c>
      <c r="J17" s="21"/>
      <c r="K17" s="21"/>
      <c r="L17" s="12" t="s">
        <v>520</v>
      </c>
      <c r="M17" s="11">
        <v>16</v>
      </c>
    </row>
    <row r="18" spans="1:13" x14ac:dyDescent="0.25">
      <c r="A18" t="s">
        <v>85</v>
      </c>
      <c r="B18" t="s">
        <v>59</v>
      </c>
      <c r="C18" s="9">
        <v>2</v>
      </c>
      <c r="D18" t="s">
        <v>87</v>
      </c>
      <c r="E18" s="10" t="s">
        <v>687</v>
      </c>
      <c r="F18" s="11">
        <v>61</v>
      </c>
      <c r="G18" s="9">
        <v>7</v>
      </c>
      <c r="H18" s="9" t="s">
        <v>324</v>
      </c>
      <c r="I18" s="21" t="s">
        <v>471</v>
      </c>
      <c r="J18" s="21"/>
      <c r="K18" s="21"/>
      <c r="L18" s="10" t="s">
        <v>507</v>
      </c>
      <c r="M18" s="11">
        <v>17</v>
      </c>
    </row>
    <row r="19" spans="1:13" x14ac:dyDescent="0.25">
      <c r="A19" t="s">
        <v>141</v>
      </c>
      <c r="B19" t="s">
        <v>346</v>
      </c>
      <c r="C19" s="9">
        <v>8</v>
      </c>
      <c r="D19" t="s">
        <v>344</v>
      </c>
      <c r="E19" s="12" t="s">
        <v>74</v>
      </c>
      <c r="F19" s="11">
        <v>30</v>
      </c>
      <c r="G19" s="9">
        <v>3</v>
      </c>
      <c r="H19" s="9" t="s">
        <v>324</v>
      </c>
      <c r="I19" s="29" t="s">
        <v>480</v>
      </c>
      <c r="J19"/>
      <c r="K19"/>
      <c r="L19" s="10" t="s">
        <v>508</v>
      </c>
      <c r="M19" s="11">
        <v>18</v>
      </c>
    </row>
    <row r="20" spans="1:13" x14ac:dyDescent="0.25">
      <c r="A20" t="s">
        <v>81</v>
      </c>
      <c r="B20" t="s">
        <v>59</v>
      </c>
      <c r="C20" s="9">
        <v>2</v>
      </c>
      <c r="D20" t="s">
        <v>35</v>
      </c>
      <c r="E20" s="12" t="s">
        <v>36</v>
      </c>
      <c r="F20" s="11">
        <v>38</v>
      </c>
      <c r="G20" s="9">
        <v>72</v>
      </c>
      <c r="H20" s="9" t="s">
        <v>324</v>
      </c>
      <c r="I20" s="21" t="s">
        <v>471</v>
      </c>
      <c r="J20" s="21"/>
      <c r="K20" s="21"/>
      <c r="L20" s="12" t="s">
        <v>430</v>
      </c>
      <c r="M20" s="11">
        <v>19</v>
      </c>
    </row>
    <row r="21" spans="1:13" x14ac:dyDescent="0.25">
      <c r="A21" t="s">
        <v>39</v>
      </c>
      <c r="B21" t="s">
        <v>40</v>
      </c>
      <c r="C21" s="9">
        <v>1</v>
      </c>
      <c r="D21" t="s">
        <v>350</v>
      </c>
      <c r="E21" s="12" t="s">
        <v>521</v>
      </c>
      <c r="F21" s="11">
        <v>25</v>
      </c>
      <c r="G21" s="9">
        <v>2</v>
      </c>
      <c r="H21" s="9" t="s">
        <v>324</v>
      </c>
      <c r="I21" s="30" t="s">
        <v>472</v>
      </c>
      <c r="J21"/>
      <c r="K21"/>
      <c r="L21" s="10" t="s">
        <v>510</v>
      </c>
      <c r="M21" s="11">
        <v>20</v>
      </c>
    </row>
    <row r="22" spans="1:13" x14ac:dyDescent="0.25">
      <c r="A22" t="s">
        <v>210</v>
      </c>
      <c r="B22" t="s">
        <v>6</v>
      </c>
      <c r="C22" s="9">
        <v>3</v>
      </c>
      <c r="D22" t="s">
        <v>212</v>
      </c>
      <c r="E22" s="12" t="s">
        <v>527</v>
      </c>
      <c r="F22" s="11">
        <v>43</v>
      </c>
      <c r="G22" s="9">
        <v>9</v>
      </c>
      <c r="H22" s="9" t="s">
        <v>324</v>
      </c>
      <c r="I22" s="31" t="s">
        <v>473</v>
      </c>
      <c r="J22"/>
      <c r="K22"/>
      <c r="L22" s="10" t="s">
        <v>511</v>
      </c>
      <c r="M22" s="11">
        <v>21</v>
      </c>
    </row>
    <row r="23" spans="1:13" x14ac:dyDescent="0.25">
      <c r="A23" t="s">
        <v>32</v>
      </c>
      <c r="B23" t="s">
        <v>40</v>
      </c>
      <c r="C23" s="9">
        <v>1</v>
      </c>
      <c r="D23" t="s">
        <v>354</v>
      </c>
      <c r="E23" s="12" t="s">
        <v>522</v>
      </c>
      <c r="F23" s="11">
        <v>28</v>
      </c>
      <c r="G23" s="9">
        <v>9</v>
      </c>
      <c r="H23" s="9" t="s">
        <v>322</v>
      </c>
      <c r="I23" s="9" t="s">
        <v>554</v>
      </c>
      <c r="L23" s="10" t="s">
        <v>512</v>
      </c>
      <c r="M23" s="11">
        <v>22</v>
      </c>
    </row>
    <row r="24" spans="1:13" x14ac:dyDescent="0.25">
      <c r="A24" t="s">
        <v>114</v>
      </c>
      <c r="B24" t="s">
        <v>115</v>
      </c>
      <c r="C24" s="9">
        <v>4</v>
      </c>
      <c r="D24" t="s">
        <v>326</v>
      </c>
      <c r="E24" s="12" t="s">
        <v>97</v>
      </c>
      <c r="F24" s="11">
        <v>5</v>
      </c>
      <c r="G24" s="9">
        <v>1</v>
      </c>
      <c r="H24" s="9" t="s">
        <v>324</v>
      </c>
      <c r="I24" s="32" t="s">
        <v>474</v>
      </c>
      <c r="J24"/>
      <c r="K24"/>
      <c r="L24" s="10" t="s">
        <v>513</v>
      </c>
      <c r="M24" s="11">
        <v>23</v>
      </c>
    </row>
    <row r="25" spans="1:13" x14ac:dyDescent="0.25">
      <c r="A25" t="s">
        <v>156</v>
      </c>
      <c r="B25" t="s">
        <v>59</v>
      </c>
      <c r="C25" s="9">
        <v>2</v>
      </c>
      <c r="D25" t="s">
        <v>331</v>
      </c>
      <c r="E25" s="10" t="s">
        <v>356</v>
      </c>
      <c r="F25" s="11">
        <v>79</v>
      </c>
      <c r="G25" s="9">
        <v>2</v>
      </c>
      <c r="H25" s="9" t="s">
        <v>324</v>
      </c>
      <c r="I25" s="21" t="s">
        <v>471</v>
      </c>
      <c r="J25" s="21"/>
      <c r="K25" s="21"/>
      <c r="L25" s="12" t="s">
        <v>427</v>
      </c>
      <c r="M25" s="11">
        <v>24</v>
      </c>
    </row>
    <row r="26" spans="1:13" x14ac:dyDescent="0.25">
      <c r="A26" t="s">
        <v>95</v>
      </c>
      <c r="B26" t="s">
        <v>332</v>
      </c>
      <c r="C26" s="9">
        <v>5</v>
      </c>
      <c r="D26" t="s">
        <v>326</v>
      </c>
      <c r="E26" s="12" t="s">
        <v>97</v>
      </c>
      <c r="F26" s="11">
        <v>5</v>
      </c>
      <c r="G26" s="9">
        <v>1</v>
      </c>
      <c r="H26" s="9" t="s">
        <v>324</v>
      </c>
      <c r="I26" s="33" t="s">
        <v>481</v>
      </c>
      <c r="J26"/>
      <c r="K26"/>
      <c r="L26" s="12" t="s">
        <v>521</v>
      </c>
      <c r="M26" s="11">
        <v>25</v>
      </c>
    </row>
    <row r="27" spans="1:13" x14ac:dyDescent="0.25">
      <c r="A27" t="s">
        <v>133</v>
      </c>
      <c r="B27" t="s">
        <v>6</v>
      </c>
      <c r="C27" s="9">
        <v>3</v>
      </c>
      <c r="D27" t="s">
        <v>326</v>
      </c>
      <c r="E27" s="12" t="s">
        <v>135</v>
      </c>
      <c r="F27" s="11">
        <v>6</v>
      </c>
      <c r="G27" s="9">
        <v>1</v>
      </c>
      <c r="H27" s="9" t="s">
        <v>324</v>
      </c>
      <c r="I27" s="31" t="s">
        <v>473</v>
      </c>
      <c r="J27"/>
      <c r="K27"/>
      <c r="L27" s="12" t="s">
        <v>147</v>
      </c>
      <c r="M27" s="11">
        <v>26</v>
      </c>
    </row>
    <row r="28" spans="1:13" x14ac:dyDescent="0.25">
      <c r="A28" t="s">
        <v>76</v>
      </c>
      <c r="B28" t="s">
        <v>6</v>
      </c>
      <c r="C28" s="9">
        <v>3</v>
      </c>
      <c r="D28" t="s">
        <v>326</v>
      </c>
      <c r="E28" s="12" t="s">
        <v>78</v>
      </c>
      <c r="F28" s="11">
        <v>10</v>
      </c>
      <c r="G28" s="9">
        <v>51</v>
      </c>
      <c r="H28" s="9" t="s">
        <v>324</v>
      </c>
      <c r="I28" s="31" t="s">
        <v>473</v>
      </c>
      <c r="J28"/>
      <c r="K28"/>
      <c r="L28" s="12" t="s">
        <v>441</v>
      </c>
      <c r="M28" s="11">
        <v>27</v>
      </c>
    </row>
    <row r="29" spans="1:13" x14ac:dyDescent="0.25">
      <c r="A29" t="s">
        <v>88</v>
      </c>
      <c r="B29" t="s">
        <v>332</v>
      </c>
      <c r="C29" s="9">
        <v>5</v>
      </c>
      <c r="D29" t="s">
        <v>326</v>
      </c>
      <c r="E29" s="12" t="s">
        <v>89</v>
      </c>
      <c r="F29" s="11">
        <v>15</v>
      </c>
      <c r="G29" s="9">
        <v>1</v>
      </c>
      <c r="H29" s="9" t="s">
        <v>324</v>
      </c>
      <c r="I29" s="33" t="s">
        <v>481</v>
      </c>
      <c r="J29"/>
      <c r="K29"/>
      <c r="L29" s="12" t="s">
        <v>522</v>
      </c>
      <c r="M29" s="11">
        <v>28</v>
      </c>
    </row>
    <row r="30" spans="1:13" x14ac:dyDescent="0.25">
      <c r="A30" t="s">
        <v>99</v>
      </c>
      <c r="B30" t="s">
        <v>59</v>
      </c>
      <c r="C30" s="9">
        <v>2</v>
      </c>
      <c r="D30" t="s">
        <v>326</v>
      </c>
      <c r="E30" s="12" t="s">
        <v>89</v>
      </c>
      <c r="F30" s="11">
        <v>15</v>
      </c>
      <c r="G30" s="9">
        <v>32</v>
      </c>
      <c r="H30" s="9" t="s">
        <v>322</v>
      </c>
      <c r="I30" s="9" t="s">
        <v>554</v>
      </c>
      <c r="L30" s="10" t="s">
        <v>509</v>
      </c>
      <c r="M30" s="11">
        <v>29</v>
      </c>
    </row>
    <row r="31" spans="1:13" x14ac:dyDescent="0.25">
      <c r="A31" t="s">
        <v>99</v>
      </c>
      <c r="B31" t="s">
        <v>362</v>
      </c>
      <c r="C31" s="9">
        <v>5</v>
      </c>
      <c r="D31" t="s">
        <v>326</v>
      </c>
      <c r="E31" s="12" t="s">
        <v>89</v>
      </c>
      <c r="F31" s="11">
        <v>15</v>
      </c>
      <c r="G31" s="9">
        <v>17</v>
      </c>
      <c r="H31" s="9" t="s">
        <v>322</v>
      </c>
      <c r="I31" s="9" t="s">
        <v>554</v>
      </c>
      <c r="L31" s="12" t="s">
        <v>74</v>
      </c>
      <c r="M31" s="11">
        <v>30</v>
      </c>
    </row>
    <row r="32" spans="1:13" x14ac:dyDescent="0.25">
      <c r="A32" t="s">
        <v>187</v>
      </c>
      <c r="B32" t="s">
        <v>332</v>
      </c>
      <c r="C32" s="9">
        <v>5</v>
      </c>
      <c r="D32" t="s">
        <v>365</v>
      </c>
      <c r="E32" s="12" t="s">
        <v>520</v>
      </c>
      <c r="F32" s="11">
        <v>16</v>
      </c>
      <c r="G32" s="9">
        <v>10</v>
      </c>
      <c r="H32" s="9" t="s">
        <v>324</v>
      </c>
      <c r="I32" s="33" t="s">
        <v>481</v>
      </c>
      <c r="J32"/>
      <c r="K32"/>
      <c r="L32" s="10" t="s">
        <v>523</v>
      </c>
      <c r="M32" s="11">
        <v>31</v>
      </c>
    </row>
    <row r="33" spans="1:13" x14ac:dyDescent="0.25">
      <c r="A33" t="s">
        <v>120</v>
      </c>
      <c r="B33" t="s">
        <v>367</v>
      </c>
      <c r="C33" s="9">
        <v>1</v>
      </c>
      <c r="D33" t="s">
        <v>331</v>
      </c>
      <c r="E33" s="10" t="s">
        <v>543</v>
      </c>
      <c r="F33" s="11">
        <v>73</v>
      </c>
      <c r="G33" s="9">
        <v>1</v>
      </c>
      <c r="H33" s="9" t="s">
        <v>324</v>
      </c>
      <c r="I33" s="30" t="s">
        <v>472</v>
      </c>
      <c r="J33"/>
      <c r="K33"/>
      <c r="L33" s="12" t="s">
        <v>450</v>
      </c>
      <c r="M33" s="11">
        <v>32</v>
      </c>
    </row>
    <row r="34" spans="1:13" x14ac:dyDescent="0.25">
      <c r="A34" t="s">
        <v>171</v>
      </c>
      <c r="B34" t="s">
        <v>40</v>
      </c>
      <c r="C34" s="9">
        <v>1</v>
      </c>
      <c r="D34" t="s">
        <v>172</v>
      </c>
      <c r="E34" s="10" t="s">
        <v>682</v>
      </c>
      <c r="F34" s="11">
        <v>65</v>
      </c>
      <c r="G34" s="9">
        <v>2</v>
      </c>
      <c r="H34" s="9" t="s">
        <v>324</v>
      </c>
      <c r="I34" s="30" t="s">
        <v>472</v>
      </c>
      <c r="J34"/>
      <c r="K34"/>
      <c r="L34" s="12" t="s">
        <v>449</v>
      </c>
      <c r="M34" s="11">
        <v>33</v>
      </c>
    </row>
    <row r="35" spans="1:13" x14ac:dyDescent="0.25">
      <c r="A35" t="s">
        <v>122</v>
      </c>
      <c r="B35" t="s">
        <v>369</v>
      </c>
      <c r="C35" s="9">
        <v>9</v>
      </c>
      <c r="D35" t="s">
        <v>326</v>
      </c>
      <c r="E35" s="12" t="s">
        <v>89</v>
      </c>
      <c r="F35" s="11">
        <v>15</v>
      </c>
      <c r="G35" s="9">
        <v>1</v>
      </c>
      <c r="H35" s="9" t="s">
        <v>324</v>
      </c>
      <c r="I35" s="34" t="s">
        <v>485</v>
      </c>
      <c r="J35"/>
      <c r="K35"/>
      <c r="L35" s="10" t="s">
        <v>524</v>
      </c>
      <c r="M35" s="11">
        <v>34</v>
      </c>
    </row>
    <row r="36" spans="1:13" x14ac:dyDescent="0.25">
      <c r="A36" t="s">
        <v>213</v>
      </c>
      <c r="B36" t="s">
        <v>6</v>
      </c>
      <c r="C36" s="9">
        <v>3</v>
      </c>
      <c r="D36" t="s">
        <v>326</v>
      </c>
      <c r="E36" s="12" t="s">
        <v>135</v>
      </c>
      <c r="F36" s="11">
        <v>6</v>
      </c>
      <c r="G36" s="9">
        <v>79</v>
      </c>
      <c r="H36" s="9" t="s">
        <v>324</v>
      </c>
      <c r="I36" s="31" t="s">
        <v>473</v>
      </c>
      <c r="J36"/>
      <c r="K36"/>
      <c r="L36" s="10" t="s">
        <v>525</v>
      </c>
      <c r="M36" s="11">
        <v>35</v>
      </c>
    </row>
    <row r="37" spans="1:13" x14ac:dyDescent="0.25">
      <c r="A37" t="s">
        <v>250</v>
      </c>
      <c r="B37" t="s">
        <v>59</v>
      </c>
      <c r="C37" s="9">
        <v>2</v>
      </c>
      <c r="D37" t="s">
        <v>344</v>
      </c>
      <c r="E37" s="12" t="s">
        <v>74</v>
      </c>
      <c r="F37" s="11">
        <v>30</v>
      </c>
      <c r="G37" s="9">
        <v>14</v>
      </c>
      <c r="H37" s="9" t="s">
        <v>324</v>
      </c>
      <c r="I37" s="21" t="s">
        <v>471</v>
      </c>
      <c r="J37" s="21"/>
      <c r="K37" s="21"/>
      <c r="L37" s="10" t="s">
        <v>335</v>
      </c>
      <c r="M37" s="11">
        <v>36</v>
      </c>
    </row>
    <row r="38" spans="1:13" x14ac:dyDescent="0.25">
      <c r="A38" t="s">
        <v>45</v>
      </c>
      <c r="B38" t="s">
        <v>6</v>
      </c>
      <c r="C38" s="9">
        <v>3</v>
      </c>
      <c r="D38" t="s">
        <v>331</v>
      </c>
      <c r="E38" s="10" t="s">
        <v>544</v>
      </c>
      <c r="F38" s="11">
        <v>74</v>
      </c>
      <c r="G38" s="9">
        <v>6</v>
      </c>
      <c r="H38" s="9" t="s">
        <v>322</v>
      </c>
      <c r="I38" s="31" t="s">
        <v>473</v>
      </c>
      <c r="J38"/>
      <c r="K38"/>
      <c r="L38" s="12" t="s">
        <v>119</v>
      </c>
      <c r="M38" s="11">
        <v>37</v>
      </c>
    </row>
    <row r="39" spans="1:13" x14ac:dyDescent="0.25">
      <c r="A39" t="s">
        <v>193</v>
      </c>
      <c r="B39" t="s">
        <v>139</v>
      </c>
      <c r="C39" s="9">
        <v>10</v>
      </c>
      <c r="D39" t="s">
        <v>35</v>
      </c>
      <c r="E39" s="12" t="s">
        <v>119</v>
      </c>
      <c r="F39" s="11">
        <v>37</v>
      </c>
      <c r="G39" s="9">
        <v>1</v>
      </c>
      <c r="H39" s="9" t="s">
        <v>324</v>
      </c>
      <c r="I39" s="35" t="s">
        <v>477</v>
      </c>
      <c r="J39"/>
      <c r="K39"/>
      <c r="L39" s="12" t="s">
        <v>36</v>
      </c>
      <c r="M39" s="11">
        <v>38</v>
      </c>
    </row>
    <row r="40" spans="1:13" x14ac:dyDescent="0.25">
      <c r="A40" t="s">
        <v>236</v>
      </c>
      <c r="B40" t="s">
        <v>6</v>
      </c>
      <c r="C40" s="9">
        <v>3</v>
      </c>
      <c r="D40" t="s">
        <v>87</v>
      </c>
      <c r="E40" s="10" t="s">
        <v>685</v>
      </c>
      <c r="F40" s="11">
        <v>58</v>
      </c>
      <c r="G40" s="9">
        <v>8</v>
      </c>
      <c r="H40" s="9" t="s">
        <v>324</v>
      </c>
      <c r="I40" s="31" t="s">
        <v>473</v>
      </c>
      <c r="J40"/>
      <c r="K40"/>
      <c r="L40" s="12" t="s">
        <v>526</v>
      </c>
      <c r="M40" s="11">
        <v>39</v>
      </c>
    </row>
    <row r="41" spans="1:13" x14ac:dyDescent="0.25">
      <c r="A41" t="s">
        <v>215</v>
      </c>
      <c r="B41" t="s">
        <v>378</v>
      </c>
      <c r="C41" s="9">
        <v>7</v>
      </c>
      <c r="D41" t="s">
        <v>87</v>
      </c>
      <c r="E41" s="10" t="s">
        <v>688</v>
      </c>
      <c r="F41" s="11">
        <v>62</v>
      </c>
      <c r="G41" s="9">
        <v>1</v>
      </c>
      <c r="H41" s="9" t="s">
        <v>324</v>
      </c>
      <c r="I41" s="23" t="s">
        <v>476</v>
      </c>
      <c r="J41"/>
      <c r="K41"/>
      <c r="L41" s="12" t="s">
        <v>61</v>
      </c>
      <c r="M41" s="11">
        <v>40</v>
      </c>
    </row>
    <row r="42" spans="1:13" x14ac:dyDescent="0.25">
      <c r="A42" t="s">
        <v>215</v>
      </c>
      <c r="B42" t="s">
        <v>378</v>
      </c>
      <c r="C42" s="9">
        <v>7</v>
      </c>
      <c r="D42" t="s">
        <v>331</v>
      </c>
      <c r="E42" s="10" t="s">
        <v>548</v>
      </c>
      <c r="F42" s="11">
        <v>78</v>
      </c>
      <c r="G42" s="9">
        <v>1</v>
      </c>
      <c r="H42" s="9" t="s">
        <v>324</v>
      </c>
      <c r="I42" s="23" t="s">
        <v>476</v>
      </c>
      <c r="J42"/>
      <c r="K42"/>
      <c r="L42" s="12" t="s">
        <v>192</v>
      </c>
      <c r="M42" s="11">
        <v>41</v>
      </c>
    </row>
    <row r="43" spans="1:13" x14ac:dyDescent="0.25">
      <c r="A43" t="s">
        <v>55</v>
      </c>
      <c r="B43" t="s">
        <v>11</v>
      </c>
      <c r="C43" s="9">
        <v>6</v>
      </c>
      <c r="D43" t="s">
        <v>35</v>
      </c>
      <c r="E43" s="12" t="s">
        <v>36</v>
      </c>
      <c r="F43" s="11">
        <v>38</v>
      </c>
      <c r="G43" s="9">
        <v>90</v>
      </c>
      <c r="H43" s="9" t="s">
        <v>324</v>
      </c>
      <c r="I43" s="22" t="s">
        <v>475</v>
      </c>
      <c r="J43"/>
      <c r="K43"/>
      <c r="L43" s="10" t="s">
        <v>385</v>
      </c>
      <c r="M43" s="11">
        <v>42</v>
      </c>
    </row>
    <row r="44" spans="1:13" x14ac:dyDescent="0.25">
      <c r="A44" t="s">
        <v>22</v>
      </c>
      <c r="B44" t="s">
        <v>330</v>
      </c>
      <c r="C44" s="9">
        <v>7</v>
      </c>
      <c r="D44" t="s">
        <v>326</v>
      </c>
      <c r="E44" s="12" t="s">
        <v>24</v>
      </c>
      <c r="F44" s="11">
        <v>14</v>
      </c>
      <c r="G44" s="9">
        <v>3</v>
      </c>
      <c r="H44" s="9" t="s">
        <v>324</v>
      </c>
      <c r="I44" s="23" t="s">
        <v>476</v>
      </c>
      <c r="J44"/>
      <c r="K44"/>
      <c r="L44" s="12" t="s">
        <v>527</v>
      </c>
      <c r="M44" s="11">
        <v>44</v>
      </c>
    </row>
    <row r="45" spans="1:13" x14ac:dyDescent="0.25">
      <c r="A45" t="s">
        <v>274</v>
      </c>
      <c r="B45" t="s">
        <v>59</v>
      </c>
      <c r="C45" s="9">
        <v>2</v>
      </c>
      <c r="D45" t="s">
        <v>35</v>
      </c>
      <c r="E45" s="12" t="s">
        <v>36</v>
      </c>
      <c r="F45" s="11">
        <v>38</v>
      </c>
      <c r="G45" s="9">
        <v>3</v>
      </c>
      <c r="H45" s="9" t="s">
        <v>324</v>
      </c>
      <c r="I45" s="21" t="s">
        <v>471</v>
      </c>
      <c r="J45" s="21"/>
      <c r="K45" s="21"/>
      <c r="L45" s="10" t="s">
        <v>528</v>
      </c>
      <c r="M45" s="11">
        <v>43</v>
      </c>
    </row>
    <row r="46" spans="1:13" x14ac:dyDescent="0.25">
      <c r="A46" t="s">
        <v>220</v>
      </c>
      <c r="B46" t="s">
        <v>115</v>
      </c>
      <c r="C46" s="9">
        <v>4</v>
      </c>
      <c r="D46" t="s">
        <v>384</v>
      </c>
      <c r="E46" s="10" t="s">
        <v>385</v>
      </c>
      <c r="F46" s="11">
        <v>42</v>
      </c>
      <c r="G46" s="9">
        <v>6</v>
      </c>
      <c r="H46" s="9" t="s">
        <v>324</v>
      </c>
      <c r="I46" s="32" t="s">
        <v>474</v>
      </c>
      <c r="J46"/>
      <c r="K46"/>
      <c r="L46" s="12" t="s">
        <v>529</v>
      </c>
      <c r="M46" s="11">
        <v>45</v>
      </c>
    </row>
    <row r="47" spans="1:13" x14ac:dyDescent="0.25">
      <c r="A47" t="s">
        <v>220</v>
      </c>
      <c r="B47" t="s">
        <v>115</v>
      </c>
      <c r="C47" s="9">
        <v>4</v>
      </c>
      <c r="D47" t="s">
        <v>212</v>
      </c>
      <c r="E47" s="10" t="s">
        <v>528</v>
      </c>
      <c r="F47" s="11">
        <v>44</v>
      </c>
      <c r="G47" s="9">
        <v>5</v>
      </c>
      <c r="H47" s="9" t="s">
        <v>324</v>
      </c>
      <c r="I47" s="32" t="s">
        <v>474</v>
      </c>
      <c r="J47"/>
      <c r="K47"/>
      <c r="L47" s="12" t="s">
        <v>530</v>
      </c>
      <c r="M47" s="11">
        <v>46</v>
      </c>
    </row>
    <row r="48" spans="1:13" x14ac:dyDescent="0.25">
      <c r="A48" t="s">
        <v>179</v>
      </c>
      <c r="B48" t="s">
        <v>59</v>
      </c>
      <c r="C48" s="9">
        <v>2</v>
      </c>
      <c r="D48" t="s">
        <v>87</v>
      </c>
      <c r="E48" s="10" t="s">
        <v>684</v>
      </c>
      <c r="F48" s="11">
        <v>57</v>
      </c>
      <c r="G48" s="9">
        <v>132</v>
      </c>
      <c r="H48" s="9" t="s">
        <v>324</v>
      </c>
      <c r="I48" s="21" t="s">
        <v>471</v>
      </c>
      <c r="J48" s="21"/>
      <c r="K48" s="21"/>
      <c r="L48" s="10" t="s">
        <v>531</v>
      </c>
      <c r="M48" s="11">
        <v>47</v>
      </c>
    </row>
    <row r="49" spans="1:13" x14ac:dyDescent="0.25">
      <c r="A49" t="s">
        <v>163</v>
      </c>
      <c r="B49" t="s">
        <v>59</v>
      </c>
      <c r="C49" s="9">
        <v>2</v>
      </c>
      <c r="D49" t="s">
        <v>321</v>
      </c>
      <c r="E49" s="12" t="s">
        <v>61</v>
      </c>
      <c r="F49" s="11">
        <v>40</v>
      </c>
      <c r="G49" s="9">
        <v>2</v>
      </c>
      <c r="H49" s="9" t="s">
        <v>324</v>
      </c>
      <c r="I49" s="21" t="s">
        <v>471</v>
      </c>
      <c r="J49" s="21"/>
      <c r="K49" s="21"/>
      <c r="L49" s="10" t="s">
        <v>532</v>
      </c>
      <c r="M49" s="11">
        <v>48</v>
      </c>
    </row>
    <row r="50" spans="1:13" x14ac:dyDescent="0.25">
      <c r="A50" t="s">
        <v>163</v>
      </c>
      <c r="B50" t="s">
        <v>388</v>
      </c>
      <c r="C50" s="9">
        <v>6</v>
      </c>
      <c r="D50" t="s">
        <v>391</v>
      </c>
      <c r="E50" s="10" t="s">
        <v>532</v>
      </c>
      <c r="F50" s="11">
        <v>48</v>
      </c>
      <c r="G50" s="9">
        <v>1</v>
      </c>
      <c r="H50" s="9" t="s">
        <v>324</v>
      </c>
      <c r="I50" s="22" t="s">
        <v>475</v>
      </c>
      <c r="J50"/>
      <c r="K50"/>
      <c r="L50" s="10" t="s">
        <v>533</v>
      </c>
      <c r="M50" s="11">
        <v>49</v>
      </c>
    </row>
    <row r="51" spans="1:13" x14ac:dyDescent="0.25">
      <c r="A51" t="s">
        <v>163</v>
      </c>
      <c r="B51" t="s">
        <v>388</v>
      </c>
      <c r="C51" s="9">
        <v>6</v>
      </c>
      <c r="D51" t="s">
        <v>391</v>
      </c>
      <c r="E51" s="10" t="s">
        <v>533</v>
      </c>
      <c r="F51" s="11">
        <v>49</v>
      </c>
      <c r="G51" s="9">
        <v>1</v>
      </c>
      <c r="H51" s="9" t="s">
        <v>324</v>
      </c>
      <c r="I51" s="22" t="s">
        <v>475</v>
      </c>
      <c r="J51"/>
      <c r="K51"/>
      <c r="L51" s="10" t="s">
        <v>534</v>
      </c>
      <c r="M51" s="11">
        <v>50</v>
      </c>
    </row>
    <row r="52" spans="1:13" x14ac:dyDescent="0.25">
      <c r="A52" t="s">
        <v>163</v>
      </c>
      <c r="B52" t="s">
        <v>388</v>
      </c>
      <c r="C52" s="9">
        <v>6</v>
      </c>
      <c r="D52" t="s">
        <v>391</v>
      </c>
      <c r="E52" s="10" t="s">
        <v>534</v>
      </c>
      <c r="F52" s="11">
        <v>50</v>
      </c>
      <c r="G52" s="9">
        <v>1</v>
      </c>
      <c r="H52" s="9" t="s">
        <v>324</v>
      </c>
      <c r="I52" s="22" t="s">
        <v>475</v>
      </c>
      <c r="J52"/>
      <c r="K52"/>
      <c r="L52" s="10" t="s">
        <v>581</v>
      </c>
      <c r="M52" s="11">
        <v>51</v>
      </c>
    </row>
    <row r="53" spans="1:13" x14ac:dyDescent="0.25">
      <c r="A53" t="s">
        <v>163</v>
      </c>
      <c r="B53" t="s">
        <v>388</v>
      </c>
      <c r="C53" s="9">
        <v>6</v>
      </c>
      <c r="D53" t="s">
        <v>391</v>
      </c>
      <c r="E53" s="10" t="s">
        <v>535</v>
      </c>
      <c r="F53" s="11">
        <v>53</v>
      </c>
      <c r="G53" s="9">
        <v>3</v>
      </c>
      <c r="H53" s="9" t="s">
        <v>324</v>
      </c>
      <c r="I53" s="22" t="s">
        <v>475</v>
      </c>
      <c r="J53"/>
      <c r="K53"/>
      <c r="L53" s="10" t="s">
        <v>582</v>
      </c>
      <c r="M53" s="11">
        <v>52</v>
      </c>
    </row>
    <row r="54" spans="1:13" x14ac:dyDescent="0.25">
      <c r="A54" t="s">
        <v>231</v>
      </c>
      <c r="B54" t="s">
        <v>59</v>
      </c>
      <c r="C54" s="9">
        <v>2</v>
      </c>
      <c r="D54" t="s">
        <v>329</v>
      </c>
      <c r="E54" s="10" t="s">
        <v>551</v>
      </c>
      <c r="F54" s="11">
        <v>71</v>
      </c>
      <c r="G54" s="9">
        <v>17</v>
      </c>
      <c r="H54" s="9" t="s">
        <v>324</v>
      </c>
      <c r="I54" s="21" t="s">
        <v>471</v>
      </c>
      <c r="J54" s="21"/>
      <c r="K54" s="21"/>
      <c r="L54" s="10" t="s">
        <v>535</v>
      </c>
      <c r="M54" s="11">
        <v>53</v>
      </c>
    </row>
    <row r="55" spans="1:13" x14ac:dyDescent="0.25">
      <c r="A55" t="s">
        <v>231</v>
      </c>
      <c r="B55" t="s">
        <v>59</v>
      </c>
      <c r="C55" s="9">
        <v>2</v>
      </c>
      <c r="D55" t="s">
        <v>392</v>
      </c>
      <c r="E55" s="10" t="s">
        <v>356</v>
      </c>
      <c r="F55" s="11">
        <v>79</v>
      </c>
      <c r="G55" s="9">
        <v>3</v>
      </c>
      <c r="H55" s="9" t="s">
        <v>322</v>
      </c>
      <c r="I55" s="21" t="s">
        <v>554</v>
      </c>
      <c r="J55" s="21"/>
      <c r="K55" s="21"/>
      <c r="L55" s="12" t="s">
        <v>536</v>
      </c>
      <c r="M55" s="11">
        <v>54</v>
      </c>
    </row>
    <row r="56" spans="1:13" x14ac:dyDescent="0.25">
      <c r="A56" t="s">
        <v>182</v>
      </c>
      <c r="B56" t="s">
        <v>59</v>
      </c>
      <c r="C56" s="9">
        <v>2</v>
      </c>
      <c r="D56" t="s">
        <v>87</v>
      </c>
      <c r="E56" s="10" t="s">
        <v>684</v>
      </c>
      <c r="F56" s="11">
        <v>57</v>
      </c>
      <c r="G56" s="9">
        <v>56</v>
      </c>
      <c r="H56" s="9" t="s">
        <v>324</v>
      </c>
      <c r="I56" s="21" t="s">
        <v>471</v>
      </c>
      <c r="J56" s="21"/>
      <c r="K56" s="21"/>
      <c r="L56" s="12" t="s">
        <v>537</v>
      </c>
      <c r="M56" s="11">
        <v>55</v>
      </c>
    </row>
    <row r="57" spans="1:13" x14ac:dyDescent="0.25">
      <c r="A57" t="s">
        <v>51</v>
      </c>
      <c r="B57" t="s">
        <v>40</v>
      </c>
      <c r="C57" s="9">
        <v>1</v>
      </c>
      <c r="D57" t="s">
        <v>19</v>
      </c>
      <c r="E57" s="10" t="s">
        <v>506</v>
      </c>
      <c r="F57" s="11">
        <v>70</v>
      </c>
      <c r="G57" s="9">
        <v>64</v>
      </c>
      <c r="H57" s="9" t="s">
        <v>324</v>
      </c>
      <c r="I57" s="30" t="s">
        <v>472</v>
      </c>
      <c r="J57"/>
      <c r="K57"/>
      <c r="L57" s="10" t="s">
        <v>681</v>
      </c>
      <c r="M57" s="11">
        <v>56</v>
      </c>
    </row>
    <row r="58" spans="1:13" x14ac:dyDescent="0.25">
      <c r="A58" t="s">
        <v>4</v>
      </c>
      <c r="B58" t="s">
        <v>6</v>
      </c>
      <c r="C58" s="9">
        <v>3</v>
      </c>
      <c r="D58" t="s">
        <v>391</v>
      </c>
      <c r="E58" s="10" t="s">
        <v>581</v>
      </c>
      <c r="F58" s="11">
        <v>51</v>
      </c>
      <c r="G58" s="9">
        <v>134</v>
      </c>
      <c r="H58" s="9" t="s">
        <v>324</v>
      </c>
      <c r="I58" s="31" t="s">
        <v>473</v>
      </c>
      <c r="J58"/>
      <c r="K58"/>
      <c r="L58" s="10" t="s">
        <v>684</v>
      </c>
      <c r="M58" s="11">
        <v>57</v>
      </c>
    </row>
    <row r="59" spans="1:13" x14ac:dyDescent="0.25">
      <c r="A59" t="s">
        <v>4</v>
      </c>
      <c r="B59" t="s">
        <v>6</v>
      </c>
      <c r="C59" s="9">
        <v>3</v>
      </c>
      <c r="D59" t="s">
        <v>391</v>
      </c>
      <c r="E59" s="10" t="s">
        <v>582</v>
      </c>
      <c r="F59" s="11">
        <v>52</v>
      </c>
      <c r="G59" s="9">
        <v>12</v>
      </c>
      <c r="H59" s="9" t="s">
        <v>324</v>
      </c>
      <c r="I59" s="31" t="s">
        <v>473</v>
      </c>
      <c r="J59"/>
      <c r="K59"/>
      <c r="L59" s="10" t="s">
        <v>685</v>
      </c>
      <c r="M59" s="11">
        <v>58</v>
      </c>
    </row>
    <row r="60" spans="1:13" x14ac:dyDescent="0.25">
      <c r="A60" t="s">
        <v>128</v>
      </c>
      <c r="B60" t="s">
        <v>40</v>
      </c>
      <c r="C60" s="9">
        <v>1</v>
      </c>
      <c r="D60" t="s">
        <v>326</v>
      </c>
      <c r="E60" s="10" t="s">
        <v>516</v>
      </c>
      <c r="F60" s="11">
        <v>8</v>
      </c>
      <c r="G60" s="9">
        <v>10</v>
      </c>
      <c r="H60" s="9" t="s">
        <v>324</v>
      </c>
      <c r="I60" s="30" t="s">
        <v>472</v>
      </c>
      <c r="J60"/>
      <c r="K60"/>
      <c r="L60" s="10" t="s">
        <v>683</v>
      </c>
      <c r="M60" s="11">
        <v>59</v>
      </c>
    </row>
    <row r="61" spans="1:13" x14ac:dyDescent="0.25">
      <c r="A61" t="s">
        <v>256</v>
      </c>
      <c r="B61" t="s">
        <v>257</v>
      </c>
      <c r="C61" s="9">
        <v>11</v>
      </c>
      <c r="D61" t="s">
        <v>12</v>
      </c>
      <c r="E61" s="10" t="s">
        <v>524</v>
      </c>
      <c r="F61" s="11">
        <v>34</v>
      </c>
      <c r="G61" s="9">
        <v>6</v>
      </c>
      <c r="H61" s="9" t="s">
        <v>324</v>
      </c>
      <c r="I61" s="36" t="s">
        <v>478</v>
      </c>
      <c r="J61"/>
      <c r="K61"/>
      <c r="L61" s="10" t="s">
        <v>686</v>
      </c>
      <c r="M61" s="11">
        <v>60</v>
      </c>
    </row>
    <row r="62" spans="1:13" x14ac:dyDescent="0.25">
      <c r="A62" t="s">
        <v>10</v>
      </c>
      <c r="B62" t="s">
        <v>11</v>
      </c>
      <c r="C62" s="9">
        <v>6</v>
      </c>
      <c r="D62" t="s">
        <v>12</v>
      </c>
      <c r="E62" s="10" t="s">
        <v>525</v>
      </c>
      <c r="F62" s="11">
        <v>35</v>
      </c>
      <c r="G62" s="9">
        <v>10</v>
      </c>
      <c r="H62" s="13" t="s">
        <v>322</v>
      </c>
      <c r="I62" s="9" t="s">
        <v>554</v>
      </c>
      <c r="L62" s="10" t="s">
        <v>687</v>
      </c>
      <c r="M62" s="11">
        <v>61</v>
      </c>
    </row>
    <row r="63" spans="1:13" x14ac:dyDescent="0.25">
      <c r="A63" t="s">
        <v>64</v>
      </c>
      <c r="B63" t="s">
        <v>40</v>
      </c>
      <c r="C63" s="9">
        <v>1</v>
      </c>
      <c r="D63" t="s">
        <v>340</v>
      </c>
      <c r="E63" s="12" t="s">
        <v>400</v>
      </c>
      <c r="F63" s="11">
        <v>2</v>
      </c>
      <c r="G63" s="9">
        <v>1</v>
      </c>
      <c r="H63" s="9" t="s">
        <v>324</v>
      </c>
      <c r="I63" s="30" t="s">
        <v>472</v>
      </c>
      <c r="J63"/>
      <c r="K63"/>
      <c r="L63" s="10" t="s">
        <v>688</v>
      </c>
      <c r="M63" s="11">
        <v>62</v>
      </c>
    </row>
    <row r="64" spans="1:13" x14ac:dyDescent="0.25">
      <c r="A64" t="s">
        <v>123</v>
      </c>
      <c r="B64" t="s">
        <v>40</v>
      </c>
      <c r="C64" s="9">
        <v>1</v>
      </c>
      <c r="D64" t="s">
        <v>326</v>
      </c>
      <c r="E64" s="10" t="s">
        <v>518</v>
      </c>
      <c r="F64" s="11">
        <v>12</v>
      </c>
      <c r="G64" s="9">
        <v>1</v>
      </c>
      <c r="H64" s="9" t="s">
        <v>324</v>
      </c>
      <c r="I64" s="30" t="s">
        <v>472</v>
      </c>
      <c r="J64"/>
      <c r="K64"/>
      <c r="L64" s="10" t="s">
        <v>689</v>
      </c>
      <c r="M64" s="11">
        <v>63</v>
      </c>
    </row>
    <row r="65" spans="1:13" x14ac:dyDescent="0.25">
      <c r="A65" t="s">
        <v>259</v>
      </c>
      <c r="B65" t="s">
        <v>40</v>
      </c>
      <c r="C65" s="9">
        <v>1</v>
      </c>
      <c r="D65" t="s">
        <v>87</v>
      </c>
      <c r="E65" s="10" t="s">
        <v>687</v>
      </c>
      <c r="F65" s="11">
        <v>61</v>
      </c>
      <c r="G65" s="9">
        <v>7</v>
      </c>
      <c r="H65" s="9" t="s">
        <v>324</v>
      </c>
      <c r="I65" s="30" t="s">
        <v>472</v>
      </c>
      <c r="J65"/>
      <c r="K65"/>
      <c r="L65" s="10" t="s">
        <v>690</v>
      </c>
      <c r="M65" s="11">
        <v>64</v>
      </c>
    </row>
    <row r="66" spans="1:13" x14ac:dyDescent="0.25">
      <c r="A66" t="s">
        <v>245</v>
      </c>
      <c r="B66" t="s">
        <v>403</v>
      </c>
      <c r="C66" s="9">
        <v>9</v>
      </c>
      <c r="D66" t="s">
        <v>35</v>
      </c>
      <c r="E66" s="12" t="s">
        <v>36</v>
      </c>
      <c r="F66" s="11">
        <v>38</v>
      </c>
      <c r="G66" s="9">
        <v>1</v>
      </c>
      <c r="H66" s="9" t="s">
        <v>324</v>
      </c>
      <c r="I66" s="34" t="s">
        <v>485</v>
      </c>
      <c r="J66"/>
      <c r="K66"/>
      <c r="L66" s="10" t="s">
        <v>682</v>
      </c>
      <c r="M66" s="11">
        <v>65</v>
      </c>
    </row>
    <row r="67" spans="1:13" x14ac:dyDescent="0.25">
      <c r="A67" t="s">
        <v>125</v>
      </c>
      <c r="B67" t="s">
        <v>40</v>
      </c>
      <c r="C67" s="9">
        <v>1</v>
      </c>
      <c r="D67" t="s">
        <v>19</v>
      </c>
      <c r="E67" s="10" t="s">
        <v>126</v>
      </c>
      <c r="F67" s="11">
        <v>72</v>
      </c>
      <c r="G67" s="9">
        <v>1</v>
      </c>
      <c r="H67" s="9" t="s">
        <v>324</v>
      </c>
      <c r="I67" s="30" t="s">
        <v>472</v>
      </c>
      <c r="J67"/>
      <c r="K67"/>
      <c r="L67" s="10" t="s">
        <v>538</v>
      </c>
      <c r="M67" s="11">
        <v>66</v>
      </c>
    </row>
    <row r="68" spans="1:13" x14ac:dyDescent="0.25">
      <c r="A68" t="s">
        <v>207</v>
      </c>
      <c r="B68" t="s">
        <v>59</v>
      </c>
      <c r="C68" s="9">
        <v>2</v>
      </c>
      <c r="D68" t="s">
        <v>406</v>
      </c>
      <c r="E68" s="10" t="s">
        <v>538</v>
      </c>
      <c r="F68" s="11">
        <v>66</v>
      </c>
      <c r="G68" s="9">
        <v>12</v>
      </c>
      <c r="H68" s="9" t="s">
        <v>322</v>
      </c>
      <c r="I68" s="21" t="s">
        <v>554</v>
      </c>
      <c r="J68" s="21"/>
      <c r="K68" s="21"/>
      <c r="L68" s="10" t="s">
        <v>539</v>
      </c>
      <c r="M68" s="11">
        <v>67</v>
      </c>
    </row>
    <row r="69" spans="1:13" x14ac:dyDescent="0.25">
      <c r="A69" t="s">
        <v>207</v>
      </c>
      <c r="B69" t="s">
        <v>59</v>
      </c>
      <c r="C69" s="9">
        <v>2</v>
      </c>
      <c r="D69" t="s">
        <v>406</v>
      </c>
      <c r="E69" s="10" t="s">
        <v>539</v>
      </c>
      <c r="F69" s="11">
        <v>67</v>
      </c>
      <c r="G69" s="9">
        <v>12</v>
      </c>
      <c r="H69" s="9" t="s">
        <v>322</v>
      </c>
      <c r="I69" s="21" t="s">
        <v>554</v>
      </c>
      <c r="J69" s="21"/>
      <c r="K69" s="21"/>
      <c r="L69" s="10" t="s">
        <v>540</v>
      </c>
      <c r="M69" s="11">
        <v>68</v>
      </c>
    </row>
    <row r="70" spans="1:13" x14ac:dyDescent="0.25">
      <c r="A70" t="s">
        <v>189</v>
      </c>
      <c r="B70" t="s">
        <v>407</v>
      </c>
      <c r="C70" s="9">
        <v>5</v>
      </c>
      <c r="D70" t="s">
        <v>87</v>
      </c>
      <c r="E70" s="10" t="s">
        <v>687</v>
      </c>
      <c r="F70" s="11">
        <v>61</v>
      </c>
      <c r="G70" s="9">
        <v>2</v>
      </c>
      <c r="H70" s="9" t="s">
        <v>324</v>
      </c>
      <c r="I70" s="33" t="s">
        <v>481</v>
      </c>
      <c r="J70"/>
      <c r="K70"/>
      <c r="L70" s="10" t="s">
        <v>541</v>
      </c>
      <c r="M70" s="11">
        <v>69</v>
      </c>
    </row>
    <row r="71" spans="1:13" x14ac:dyDescent="0.25">
      <c r="A71" t="s">
        <v>152</v>
      </c>
      <c r="B71" t="s">
        <v>40</v>
      </c>
      <c r="C71" s="9">
        <v>1</v>
      </c>
      <c r="D71" t="s">
        <v>12</v>
      </c>
      <c r="E71" s="10" t="s">
        <v>523</v>
      </c>
      <c r="F71" s="11">
        <v>31</v>
      </c>
      <c r="G71" s="9">
        <v>3</v>
      </c>
      <c r="H71" s="9" t="s">
        <v>324</v>
      </c>
      <c r="I71" s="30" t="s">
        <v>472</v>
      </c>
      <c r="J71"/>
      <c r="K71"/>
      <c r="L71" s="10" t="s">
        <v>506</v>
      </c>
      <c r="M71" s="11">
        <v>70</v>
      </c>
    </row>
    <row r="72" spans="1:13" x14ac:dyDescent="0.25">
      <c r="A72" t="s">
        <v>217</v>
      </c>
      <c r="B72" t="s">
        <v>409</v>
      </c>
      <c r="C72" s="9">
        <v>5</v>
      </c>
      <c r="D72" t="s">
        <v>411</v>
      </c>
      <c r="E72" s="10" t="s">
        <v>689</v>
      </c>
      <c r="F72" s="11">
        <v>63</v>
      </c>
      <c r="G72" s="9">
        <v>1</v>
      </c>
      <c r="H72" s="9" t="s">
        <v>324</v>
      </c>
      <c r="I72" s="32" t="s">
        <v>474</v>
      </c>
      <c r="J72"/>
      <c r="K72"/>
      <c r="L72" s="10" t="s">
        <v>542</v>
      </c>
      <c r="M72" s="11">
        <v>71</v>
      </c>
    </row>
    <row r="73" spans="1:13" x14ac:dyDescent="0.25">
      <c r="A73" t="s">
        <v>145</v>
      </c>
      <c r="B73" t="s">
        <v>115</v>
      </c>
      <c r="C73" s="9">
        <v>4</v>
      </c>
      <c r="D73" t="s">
        <v>354</v>
      </c>
      <c r="E73" s="12" t="s">
        <v>147</v>
      </c>
      <c r="F73" s="11">
        <v>26</v>
      </c>
      <c r="G73" s="9">
        <v>3</v>
      </c>
      <c r="H73" s="9" t="s">
        <v>324</v>
      </c>
      <c r="I73" s="32" t="s">
        <v>474</v>
      </c>
      <c r="J73"/>
      <c r="K73"/>
      <c r="L73" s="10" t="s">
        <v>126</v>
      </c>
      <c r="M73" s="11">
        <v>72</v>
      </c>
    </row>
    <row r="74" spans="1:13" x14ac:dyDescent="0.25">
      <c r="A74" t="s">
        <v>91</v>
      </c>
      <c r="B74" t="s">
        <v>40</v>
      </c>
      <c r="C74" s="9">
        <v>1</v>
      </c>
      <c r="D74" t="s">
        <v>326</v>
      </c>
      <c r="E74" s="12" t="s">
        <v>24</v>
      </c>
      <c r="F74" s="11">
        <v>14</v>
      </c>
      <c r="G74" s="9">
        <v>2</v>
      </c>
      <c r="H74" s="9" t="s">
        <v>324</v>
      </c>
      <c r="I74" s="30" t="s">
        <v>472</v>
      </c>
      <c r="J74"/>
      <c r="K74"/>
      <c r="L74" s="10" t="s">
        <v>543</v>
      </c>
      <c r="M74" s="11">
        <v>73</v>
      </c>
    </row>
    <row r="75" spans="1:13" x14ac:dyDescent="0.25">
      <c r="A75" t="s">
        <v>117</v>
      </c>
      <c r="B75" t="s">
        <v>59</v>
      </c>
      <c r="C75" s="9">
        <v>2</v>
      </c>
      <c r="D75" t="s">
        <v>35</v>
      </c>
      <c r="E75" s="12" t="s">
        <v>119</v>
      </c>
      <c r="F75" s="11">
        <v>37</v>
      </c>
      <c r="G75" s="9">
        <v>4</v>
      </c>
      <c r="H75" s="9" t="s">
        <v>324</v>
      </c>
      <c r="I75" s="21" t="s">
        <v>471</v>
      </c>
      <c r="J75" s="21"/>
      <c r="K75" s="21"/>
      <c r="L75" s="10" t="s">
        <v>544</v>
      </c>
      <c r="M75" s="11">
        <v>74</v>
      </c>
    </row>
    <row r="76" spans="1:13" x14ac:dyDescent="0.25">
      <c r="A76" t="s">
        <v>246</v>
      </c>
      <c r="B76" t="s">
        <v>115</v>
      </c>
      <c r="C76" s="9">
        <v>4</v>
      </c>
      <c r="D76" t="s">
        <v>35</v>
      </c>
      <c r="E76" s="12" t="s">
        <v>36</v>
      </c>
      <c r="F76" s="11">
        <v>38</v>
      </c>
      <c r="G76" s="9">
        <v>2</v>
      </c>
      <c r="H76" s="9" t="s">
        <v>322</v>
      </c>
      <c r="I76" s="9" t="s">
        <v>554</v>
      </c>
      <c r="L76" s="10" t="s">
        <v>545</v>
      </c>
      <c r="M76" s="11">
        <v>75</v>
      </c>
    </row>
    <row r="77" spans="1:13" x14ac:dyDescent="0.25">
      <c r="A77" t="s">
        <v>248</v>
      </c>
      <c r="B77" t="s">
        <v>6</v>
      </c>
      <c r="C77" s="9">
        <v>3</v>
      </c>
      <c r="D77" t="s">
        <v>19</v>
      </c>
      <c r="E77" s="10" t="s">
        <v>506</v>
      </c>
      <c r="F77" s="11">
        <v>70</v>
      </c>
      <c r="G77" s="9">
        <v>30</v>
      </c>
      <c r="H77" s="9" t="s">
        <v>324</v>
      </c>
      <c r="I77" s="31" t="s">
        <v>473</v>
      </c>
      <c r="J77"/>
      <c r="K77"/>
      <c r="L77" s="10" t="s">
        <v>546</v>
      </c>
      <c r="M77" s="11">
        <v>76</v>
      </c>
    </row>
    <row r="78" spans="1:13" x14ac:dyDescent="0.25">
      <c r="A78" t="s">
        <v>176</v>
      </c>
      <c r="B78" t="s">
        <v>6</v>
      </c>
      <c r="C78" s="9">
        <v>3</v>
      </c>
      <c r="D78" t="s">
        <v>87</v>
      </c>
      <c r="E78" s="10" t="s">
        <v>681</v>
      </c>
      <c r="F78" s="11">
        <v>56</v>
      </c>
      <c r="G78" s="9">
        <v>10</v>
      </c>
      <c r="H78" s="9" t="s">
        <v>324</v>
      </c>
      <c r="I78" s="31" t="s">
        <v>473</v>
      </c>
      <c r="J78"/>
      <c r="K78"/>
      <c r="L78" s="10" t="s">
        <v>547</v>
      </c>
      <c r="M78" s="11">
        <v>77</v>
      </c>
    </row>
    <row r="79" spans="1:13" x14ac:dyDescent="0.25">
      <c r="A79" t="s">
        <v>223</v>
      </c>
      <c r="B79" t="s">
        <v>6</v>
      </c>
      <c r="C79" s="9">
        <v>3</v>
      </c>
      <c r="D79" t="s">
        <v>19</v>
      </c>
      <c r="E79" s="10" t="s">
        <v>541</v>
      </c>
      <c r="F79" s="11">
        <v>69</v>
      </c>
      <c r="G79" s="9">
        <v>17</v>
      </c>
      <c r="H79" s="9" t="s">
        <v>324</v>
      </c>
      <c r="I79" s="31" t="s">
        <v>473</v>
      </c>
      <c r="J79"/>
      <c r="K79"/>
      <c r="L79" s="10" t="s">
        <v>548</v>
      </c>
      <c r="M79" s="11">
        <v>78</v>
      </c>
    </row>
    <row r="80" spans="1:13" x14ac:dyDescent="0.25">
      <c r="A80" t="s">
        <v>199</v>
      </c>
      <c r="B80" t="s">
        <v>115</v>
      </c>
      <c r="C80" s="9">
        <v>4</v>
      </c>
      <c r="D80" t="s">
        <v>326</v>
      </c>
      <c r="E80" s="12" t="s">
        <v>97</v>
      </c>
      <c r="F80" s="11">
        <v>5</v>
      </c>
      <c r="G80" s="9">
        <v>1</v>
      </c>
      <c r="H80" s="9" t="s">
        <v>324</v>
      </c>
      <c r="I80" s="32" t="s">
        <v>474</v>
      </c>
      <c r="J80"/>
      <c r="K80"/>
      <c r="L80" s="10" t="s">
        <v>356</v>
      </c>
      <c r="M80" s="11">
        <v>79</v>
      </c>
    </row>
    <row r="81" spans="1:13" x14ac:dyDescent="0.25">
      <c r="A81" t="s">
        <v>138</v>
      </c>
      <c r="B81" t="s">
        <v>139</v>
      </c>
      <c r="C81" s="9">
        <v>10</v>
      </c>
      <c r="D81" t="s">
        <v>326</v>
      </c>
      <c r="E81" s="12" t="s">
        <v>418</v>
      </c>
      <c r="F81" s="11">
        <v>9</v>
      </c>
      <c r="G81" s="9">
        <v>1</v>
      </c>
      <c r="H81" s="9" t="s">
        <v>324</v>
      </c>
      <c r="I81" s="35" t="s">
        <v>477</v>
      </c>
      <c r="J81"/>
      <c r="K81"/>
      <c r="L81" s="10" t="s">
        <v>29</v>
      </c>
      <c r="M81" s="11">
        <v>80</v>
      </c>
    </row>
    <row r="82" spans="1:13" x14ac:dyDescent="0.25">
      <c r="A82" t="s">
        <v>222</v>
      </c>
      <c r="B82" t="s">
        <v>40</v>
      </c>
      <c r="C82" s="9">
        <v>1</v>
      </c>
      <c r="D82" t="s">
        <v>326</v>
      </c>
      <c r="E82" s="12" t="s">
        <v>89</v>
      </c>
      <c r="F82" s="11">
        <v>15</v>
      </c>
      <c r="G82" s="9">
        <v>11</v>
      </c>
      <c r="H82" s="9" t="s">
        <v>324</v>
      </c>
      <c r="I82" s="30" t="s">
        <v>472</v>
      </c>
      <c r="J82"/>
      <c r="K82"/>
    </row>
    <row r="83" spans="1:13" x14ac:dyDescent="0.25">
      <c r="A83" t="s">
        <v>101</v>
      </c>
      <c r="B83" t="s">
        <v>6</v>
      </c>
      <c r="C83" s="9">
        <v>3</v>
      </c>
      <c r="D83" t="s">
        <v>326</v>
      </c>
      <c r="E83" s="12" t="s">
        <v>89</v>
      </c>
      <c r="F83" s="11">
        <v>15</v>
      </c>
      <c r="G83" s="9">
        <v>22</v>
      </c>
      <c r="H83" s="9" t="s">
        <v>324</v>
      </c>
      <c r="I83" s="31" t="s">
        <v>473</v>
      </c>
      <c r="J83"/>
      <c r="K83"/>
    </row>
    <row r="84" spans="1:13" x14ac:dyDescent="0.25">
      <c r="A84" t="s">
        <v>66</v>
      </c>
      <c r="B84" t="s">
        <v>6</v>
      </c>
      <c r="C84" s="9">
        <v>3</v>
      </c>
      <c r="D84" t="s">
        <v>421</v>
      </c>
      <c r="E84" s="12" t="s">
        <v>422</v>
      </c>
      <c r="F84" s="11">
        <v>1</v>
      </c>
      <c r="G84" s="9">
        <v>24</v>
      </c>
      <c r="H84" s="9" t="s">
        <v>322</v>
      </c>
      <c r="I84" s="9" t="s">
        <v>554</v>
      </c>
    </row>
    <row r="85" spans="1:13" x14ac:dyDescent="0.25">
      <c r="A85" t="s">
        <v>190</v>
      </c>
      <c r="B85" t="s">
        <v>59</v>
      </c>
      <c r="C85" s="9">
        <v>2</v>
      </c>
      <c r="D85" t="s">
        <v>35</v>
      </c>
      <c r="E85" s="12" t="s">
        <v>192</v>
      </c>
      <c r="F85" s="11">
        <v>41</v>
      </c>
      <c r="G85" s="9">
        <v>42</v>
      </c>
      <c r="H85" s="9" t="s">
        <v>324</v>
      </c>
      <c r="I85" s="21" t="s">
        <v>471</v>
      </c>
      <c r="J85" s="21"/>
      <c r="K85" s="21"/>
    </row>
    <row r="86" spans="1:13" x14ac:dyDescent="0.25">
      <c r="A86" t="s">
        <v>197</v>
      </c>
      <c r="B86" t="s">
        <v>59</v>
      </c>
      <c r="C86" s="9">
        <v>2</v>
      </c>
      <c r="D86" t="s">
        <v>35</v>
      </c>
      <c r="E86" s="12" t="s">
        <v>36</v>
      </c>
      <c r="F86" s="11">
        <v>38</v>
      </c>
      <c r="G86" s="9">
        <v>200</v>
      </c>
      <c r="H86" s="9" t="s">
        <v>324</v>
      </c>
      <c r="I86" s="21" t="s">
        <v>471</v>
      </c>
      <c r="J86" s="21"/>
      <c r="K86" s="21"/>
    </row>
    <row r="87" spans="1:13" x14ac:dyDescent="0.25">
      <c r="A87" t="s">
        <v>173</v>
      </c>
      <c r="B87" t="s">
        <v>424</v>
      </c>
      <c r="C87" s="9">
        <v>7</v>
      </c>
      <c r="D87" t="s">
        <v>426</v>
      </c>
      <c r="E87" s="12" t="s">
        <v>427</v>
      </c>
      <c r="F87" s="11">
        <v>24</v>
      </c>
      <c r="G87" s="9">
        <v>1</v>
      </c>
      <c r="H87" s="9" t="s">
        <v>324</v>
      </c>
      <c r="I87" s="23" t="s">
        <v>476</v>
      </c>
      <c r="J87"/>
      <c r="K87"/>
    </row>
    <row r="88" spans="1:13" x14ac:dyDescent="0.25">
      <c r="A88" t="s">
        <v>311</v>
      </c>
      <c r="B88" t="s">
        <v>40</v>
      </c>
      <c r="C88" s="9">
        <v>1</v>
      </c>
      <c r="D88" s="14" t="s">
        <v>433</v>
      </c>
      <c r="E88" s="10" t="s">
        <v>507</v>
      </c>
      <c r="F88" s="11">
        <v>17</v>
      </c>
      <c r="G88" s="9">
        <v>3</v>
      </c>
      <c r="H88" s="9" t="s">
        <v>324</v>
      </c>
      <c r="I88" s="30" t="s">
        <v>472</v>
      </c>
      <c r="J88"/>
      <c r="K88"/>
    </row>
    <row r="89" spans="1:13" x14ac:dyDescent="0.25">
      <c r="A89" t="s">
        <v>311</v>
      </c>
      <c r="B89" t="s">
        <v>40</v>
      </c>
      <c r="C89" s="9">
        <v>1</v>
      </c>
      <c r="D89" s="14" t="s">
        <v>433</v>
      </c>
      <c r="E89" s="10" t="s">
        <v>508</v>
      </c>
      <c r="F89" s="11">
        <v>18</v>
      </c>
      <c r="G89" s="9">
        <v>3</v>
      </c>
      <c r="H89" s="9" t="s">
        <v>324</v>
      </c>
      <c r="I89" s="30" t="s">
        <v>472</v>
      </c>
      <c r="J89"/>
      <c r="K89"/>
    </row>
    <row r="90" spans="1:13" x14ac:dyDescent="0.25">
      <c r="A90" t="s">
        <v>311</v>
      </c>
      <c r="B90" t="s">
        <v>40</v>
      </c>
      <c r="C90" s="9">
        <v>1</v>
      </c>
      <c r="D90" s="14" t="s">
        <v>433</v>
      </c>
      <c r="E90" s="10" t="s">
        <v>510</v>
      </c>
      <c r="F90" s="11">
        <v>20</v>
      </c>
      <c r="G90" s="9">
        <v>3</v>
      </c>
      <c r="H90" s="9" t="s">
        <v>324</v>
      </c>
      <c r="I90" s="30" t="s">
        <v>472</v>
      </c>
      <c r="J90"/>
      <c r="K90"/>
    </row>
    <row r="91" spans="1:13" x14ac:dyDescent="0.25">
      <c r="A91" t="s">
        <v>311</v>
      </c>
      <c r="B91" t="s">
        <v>40</v>
      </c>
      <c r="C91" s="9">
        <v>1</v>
      </c>
      <c r="D91" s="14" t="s">
        <v>433</v>
      </c>
      <c r="E91" s="10" t="s">
        <v>511</v>
      </c>
      <c r="F91" s="11">
        <v>21</v>
      </c>
      <c r="G91" s="9">
        <v>3</v>
      </c>
      <c r="H91" s="9" t="s">
        <v>324</v>
      </c>
      <c r="I91" s="30" t="s">
        <v>472</v>
      </c>
      <c r="J91"/>
      <c r="K91"/>
    </row>
    <row r="92" spans="1:13" x14ac:dyDescent="0.25">
      <c r="A92" t="s">
        <v>311</v>
      </c>
      <c r="B92" t="s">
        <v>40</v>
      </c>
      <c r="C92" s="9">
        <v>1</v>
      </c>
      <c r="D92" s="14" t="s">
        <v>433</v>
      </c>
      <c r="E92" s="10" t="s">
        <v>512</v>
      </c>
      <c r="F92" s="11">
        <v>22</v>
      </c>
      <c r="G92" s="9">
        <v>3</v>
      </c>
      <c r="H92" s="9" t="s">
        <v>324</v>
      </c>
      <c r="I92" s="30" t="s">
        <v>472</v>
      </c>
      <c r="J92"/>
      <c r="K92"/>
    </row>
    <row r="93" spans="1:13" x14ac:dyDescent="0.25">
      <c r="A93" t="s">
        <v>311</v>
      </c>
      <c r="B93" t="s">
        <v>40</v>
      </c>
      <c r="C93" s="9">
        <v>1</v>
      </c>
      <c r="D93" s="14" t="s">
        <v>433</v>
      </c>
      <c r="E93" s="10" t="s">
        <v>513</v>
      </c>
      <c r="F93" s="11">
        <v>23</v>
      </c>
      <c r="G93" s="9">
        <v>3</v>
      </c>
      <c r="H93" s="9" t="s">
        <v>324</v>
      </c>
      <c r="I93" s="30" t="s">
        <v>472</v>
      </c>
      <c r="J93"/>
      <c r="K93"/>
    </row>
    <row r="94" spans="1:13" x14ac:dyDescent="0.25">
      <c r="A94" t="s">
        <v>311</v>
      </c>
      <c r="B94" t="s">
        <v>40</v>
      </c>
      <c r="C94" s="9">
        <v>1</v>
      </c>
      <c r="D94" s="14" t="s">
        <v>433</v>
      </c>
      <c r="E94" s="10" t="s">
        <v>509</v>
      </c>
      <c r="F94" s="11">
        <v>29</v>
      </c>
      <c r="G94" s="9">
        <v>3</v>
      </c>
      <c r="H94" s="9" t="s">
        <v>324</v>
      </c>
      <c r="I94" s="30" t="s">
        <v>472</v>
      </c>
      <c r="J94"/>
      <c r="K94"/>
    </row>
    <row r="95" spans="1:13" x14ac:dyDescent="0.25">
      <c r="A95" t="s">
        <v>310</v>
      </c>
      <c r="B95" t="s">
        <v>40</v>
      </c>
      <c r="C95" s="9">
        <v>1</v>
      </c>
      <c r="D95" t="s">
        <v>429</v>
      </c>
      <c r="E95" s="12" t="s">
        <v>430</v>
      </c>
      <c r="F95" s="11">
        <v>19</v>
      </c>
      <c r="G95" s="9">
        <v>27</v>
      </c>
      <c r="H95" s="9" t="s">
        <v>324</v>
      </c>
      <c r="I95" s="30" t="s">
        <v>472</v>
      </c>
      <c r="J95"/>
      <c r="K95"/>
    </row>
    <row r="96" spans="1:13" x14ac:dyDescent="0.25">
      <c r="A96" t="s">
        <v>253</v>
      </c>
      <c r="B96" t="s">
        <v>434</v>
      </c>
      <c r="C96" s="9">
        <v>6</v>
      </c>
      <c r="D96" t="s">
        <v>172</v>
      </c>
      <c r="E96" s="10" t="s">
        <v>682</v>
      </c>
      <c r="F96" s="11">
        <v>65</v>
      </c>
      <c r="G96" s="9">
        <v>10</v>
      </c>
      <c r="H96" s="9" t="s">
        <v>324</v>
      </c>
      <c r="I96" s="22" t="s">
        <v>475</v>
      </c>
      <c r="J96"/>
      <c r="K96"/>
    </row>
    <row r="97" spans="1:11" x14ac:dyDescent="0.25">
      <c r="A97" t="s">
        <v>136</v>
      </c>
      <c r="B97" t="s">
        <v>437</v>
      </c>
      <c r="C97" s="9">
        <v>13</v>
      </c>
      <c r="D97" t="s">
        <v>391</v>
      </c>
      <c r="E97" s="12" t="s">
        <v>529</v>
      </c>
      <c r="F97" s="11">
        <v>45</v>
      </c>
      <c r="G97" s="9">
        <v>1</v>
      </c>
      <c r="H97" s="9" t="s">
        <v>324</v>
      </c>
      <c r="I97" s="38" t="s">
        <v>479</v>
      </c>
      <c r="J97" s="21"/>
      <c r="K97" s="21"/>
    </row>
    <row r="98" spans="1:11" x14ac:dyDescent="0.25">
      <c r="A98" t="s">
        <v>136</v>
      </c>
      <c r="B98" t="s">
        <v>437</v>
      </c>
      <c r="C98" s="9">
        <v>13</v>
      </c>
      <c r="D98" t="s">
        <v>391</v>
      </c>
      <c r="E98" s="12" t="s">
        <v>530</v>
      </c>
      <c r="F98" s="11">
        <v>46</v>
      </c>
      <c r="G98" s="9">
        <v>1</v>
      </c>
      <c r="H98" s="9" t="s">
        <v>324</v>
      </c>
      <c r="I98" s="38" t="s">
        <v>479</v>
      </c>
      <c r="J98" s="21"/>
      <c r="K98" s="21"/>
    </row>
    <row r="99" spans="1:11" x14ac:dyDescent="0.25">
      <c r="A99" t="s">
        <v>136</v>
      </c>
      <c r="B99" t="s">
        <v>437</v>
      </c>
      <c r="C99" s="9">
        <v>13</v>
      </c>
      <c r="D99" t="s">
        <v>391</v>
      </c>
      <c r="E99" s="10" t="s">
        <v>531</v>
      </c>
      <c r="F99" s="11">
        <v>47</v>
      </c>
      <c r="G99" s="9">
        <v>1</v>
      </c>
      <c r="H99" s="9" t="s">
        <v>324</v>
      </c>
      <c r="I99" s="38" t="s">
        <v>479</v>
      </c>
      <c r="J99" s="21"/>
      <c r="K99" s="21"/>
    </row>
    <row r="100" spans="1:11" x14ac:dyDescent="0.25">
      <c r="A100" t="s">
        <v>136</v>
      </c>
      <c r="B100" t="s">
        <v>437</v>
      </c>
      <c r="C100" s="9">
        <v>13</v>
      </c>
      <c r="D100" t="s">
        <v>391</v>
      </c>
      <c r="E100" s="12" t="s">
        <v>536</v>
      </c>
      <c r="F100" s="11">
        <v>54</v>
      </c>
      <c r="G100" s="9">
        <v>1</v>
      </c>
      <c r="H100" s="9" t="s">
        <v>324</v>
      </c>
      <c r="I100" s="38" t="s">
        <v>479</v>
      </c>
      <c r="J100" s="21"/>
      <c r="K100" s="21"/>
    </row>
    <row r="101" spans="1:11" x14ac:dyDescent="0.25">
      <c r="A101" t="s">
        <v>136</v>
      </c>
      <c r="B101" t="s">
        <v>437</v>
      </c>
      <c r="C101" s="9">
        <v>13</v>
      </c>
      <c r="D101" t="s">
        <v>391</v>
      </c>
      <c r="E101" s="12" t="s">
        <v>537</v>
      </c>
      <c r="F101" s="11">
        <v>55</v>
      </c>
      <c r="G101" s="9">
        <v>1</v>
      </c>
      <c r="H101" s="9" t="s">
        <v>324</v>
      </c>
      <c r="I101" s="38" t="s">
        <v>479</v>
      </c>
      <c r="J101" s="21"/>
      <c r="K101" s="21"/>
    </row>
    <row r="102" spans="1:11" x14ac:dyDescent="0.25">
      <c r="A102" t="s">
        <v>16</v>
      </c>
      <c r="B102" t="s">
        <v>11</v>
      </c>
      <c r="C102" s="9">
        <v>6</v>
      </c>
      <c r="D102" t="s">
        <v>329</v>
      </c>
      <c r="E102" s="10" t="s">
        <v>540</v>
      </c>
      <c r="F102" s="11">
        <v>68</v>
      </c>
      <c r="G102" s="9">
        <v>20</v>
      </c>
      <c r="H102" s="9" t="s">
        <v>324</v>
      </c>
      <c r="I102" s="22" t="s">
        <v>475</v>
      </c>
      <c r="J102"/>
      <c r="K102"/>
    </row>
    <row r="103" spans="1:11" x14ac:dyDescent="0.25">
      <c r="A103" t="s">
        <v>16</v>
      </c>
      <c r="B103" t="s">
        <v>11</v>
      </c>
      <c r="C103" s="9">
        <v>6</v>
      </c>
      <c r="D103" t="s">
        <v>439</v>
      </c>
      <c r="E103" s="10" t="s">
        <v>545</v>
      </c>
      <c r="F103" s="11">
        <v>75</v>
      </c>
      <c r="G103" s="9">
        <v>20</v>
      </c>
      <c r="H103" s="9" t="s">
        <v>324</v>
      </c>
      <c r="I103" s="22" t="s">
        <v>475</v>
      </c>
      <c r="J103"/>
      <c r="K103"/>
    </row>
    <row r="104" spans="1:11" x14ac:dyDescent="0.25">
      <c r="A104" t="s">
        <v>16</v>
      </c>
      <c r="B104" t="s">
        <v>11</v>
      </c>
      <c r="C104" s="9">
        <v>6</v>
      </c>
      <c r="D104" t="s">
        <v>439</v>
      </c>
      <c r="E104" s="10" t="s">
        <v>546</v>
      </c>
      <c r="F104" s="11">
        <v>76</v>
      </c>
      <c r="G104" s="9">
        <v>20</v>
      </c>
      <c r="H104" s="9" t="s">
        <v>324</v>
      </c>
      <c r="I104" s="22" t="s">
        <v>475</v>
      </c>
      <c r="J104"/>
      <c r="K104"/>
    </row>
    <row r="105" spans="1:11" x14ac:dyDescent="0.25">
      <c r="A105" t="s">
        <v>16</v>
      </c>
      <c r="B105" t="s">
        <v>11</v>
      </c>
      <c r="C105" s="9">
        <v>6</v>
      </c>
      <c r="D105" t="s">
        <v>439</v>
      </c>
      <c r="E105" s="10" t="s">
        <v>547</v>
      </c>
      <c r="F105" s="11">
        <v>77</v>
      </c>
      <c r="G105" s="9">
        <v>20</v>
      </c>
      <c r="H105" s="9" t="s">
        <v>324</v>
      </c>
      <c r="I105" s="22" t="s">
        <v>475</v>
      </c>
      <c r="J105"/>
      <c r="K105"/>
    </row>
    <row r="106" spans="1:11" x14ac:dyDescent="0.25">
      <c r="A106" t="s">
        <v>130</v>
      </c>
      <c r="B106" t="s">
        <v>115</v>
      </c>
      <c r="C106" s="9">
        <v>4</v>
      </c>
      <c r="D106" t="s">
        <v>354</v>
      </c>
      <c r="E106" s="12" t="s">
        <v>441</v>
      </c>
      <c r="F106" s="11">
        <v>27</v>
      </c>
      <c r="G106" s="9">
        <v>2</v>
      </c>
      <c r="H106" s="9" t="s">
        <v>324</v>
      </c>
      <c r="I106" s="32" t="s">
        <v>474</v>
      </c>
      <c r="J106"/>
      <c r="K106"/>
    </row>
    <row r="107" spans="1:11" ht="30" x14ac:dyDescent="0.25">
      <c r="A107" t="s">
        <v>203</v>
      </c>
      <c r="B107" t="s">
        <v>40</v>
      </c>
      <c r="C107" s="9">
        <v>1</v>
      </c>
      <c r="D107" t="s">
        <v>35</v>
      </c>
      <c r="E107" s="12" t="s">
        <v>36</v>
      </c>
      <c r="F107" s="11">
        <v>38</v>
      </c>
      <c r="G107" s="11" t="s">
        <v>443</v>
      </c>
      <c r="H107" s="9" t="s">
        <v>324</v>
      </c>
      <c r="I107" s="30" t="s">
        <v>472</v>
      </c>
      <c r="J107"/>
      <c r="K107"/>
    </row>
    <row r="108" spans="1:11" ht="30" x14ac:dyDescent="0.25">
      <c r="A108" t="s">
        <v>203</v>
      </c>
      <c r="B108" t="s">
        <v>40</v>
      </c>
      <c r="C108" s="9">
        <v>1</v>
      </c>
      <c r="D108" t="s">
        <v>35</v>
      </c>
      <c r="E108" s="12" t="s">
        <v>36</v>
      </c>
      <c r="F108" s="11">
        <v>38</v>
      </c>
      <c r="G108" s="11" t="s">
        <v>443</v>
      </c>
      <c r="H108" s="9" t="s">
        <v>324</v>
      </c>
      <c r="I108" s="30" t="s">
        <v>472</v>
      </c>
      <c r="J108"/>
      <c r="K108"/>
    </row>
    <row r="109" spans="1:11" ht="30" x14ac:dyDescent="0.25">
      <c r="A109" t="s">
        <v>203</v>
      </c>
      <c r="B109" t="s">
        <v>40</v>
      </c>
      <c r="C109" s="9">
        <v>1</v>
      </c>
      <c r="D109" t="s">
        <v>35</v>
      </c>
      <c r="E109" s="12" t="s">
        <v>36</v>
      </c>
      <c r="F109" s="11">
        <v>38</v>
      </c>
      <c r="G109" s="11" t="s">
        <v>443</v>
      </c>
      <c r="H109" s="9" t="s">
        <v>324</v>
      </c>
      <c r="I109" s="30" t="s">
        <v>472</v>
      </c>
      <c r="J109"/>
      <c r="K109"/>
    </row>
    <row r="110" spans="1:11" x14ac:dyDescent="0.25">
      <c r="A110" t="s">
        <v>226</v>
      </c>
      <c r="B110" t="s">
        <v>59</v>
      </c>
      <c r="C110" s="9">
        <v>2</v>
      </c>
      <c r="D110" t="s">
        <v>87</v>
      </c>
      <c r="E110" s="10" t="s">
        <v>684</v>
      </c>
      <c r="F110" s="11">
        <v>57</v>
      </c>
      <c r="G110" s="9">
        <v>40</v>
      </c>
      <c r="H110" s="9" t="s">
        <v>324</v>
      </c>
      <c r="I110" s="21" t="s">
        <v>471</v>
      </c>
      <c r="J110" s="21"/>
      <c r="K110" s="21"/>
    </row>
    <row r="111" spans="1:11" x14ac:dyDescent="0.25">
      <c r="A111" t="s">
        <v>224</v>
      </c>
      <c r="B111" t="s">
        <v>40</v>
      </c>
      <c r="C111" s="9">
        <v>1</v>
      </c>
      <c r="D111" t="s">
        <v>35</v>
      </c>
      <c r="E111" s="12" t="s">
        <v>36</v>
      </c>
      <c r="F111" s="11">
        <v>38</v>
      </c>
      <c r="G111" s="9">
        <v>1</v>
      </c>
      <c r="H111" s="9" t="s">
        <v>324</v>
      </c>
      <c r="I111" s="30" t="s">
        <v>472</v>
      </c>
      <c r="J111"/>
      <c r="K111"/>
    </row>
    <row r="112" spans="1:11" x14ac:dyDescent="0.25">
      <c r="A112" t="s">
        <v>72</v>
      </c>
      <c r="B112" t="s">
        <v>59</v>
      </c>
      <c r="C112" s="9">
        <v>2</v>
      </c>
      <c r="D112" t="s">
        <v>354</v>
      </c>
      <c r="E112" s="12" t="s">
        <v>74</v>
      </c>
      <c r="F112" s="11">
        <v>30</v>
      </c>
      <c r="G112" s="9">
        <v>12</v>
      </c>
      <c r="H112" s="9" t="s">
        <v>324</v>
      </c>
      <c r="I112" s="21" t="s">
        <v>471</v>
      </c>
      <c r="J112" s="21"/>
      <c r="K112" s="21"/>
    </row>
    <row r="113" spans="1:11" x14ac:dyDescent="0.25">
      <c r="A113" t="s">
        <v>194</v>
      </c>
      <c r="B113" t="s">
        <v>115</v>
      </c>
      <c r="C113" s="9">
        <v>4</v>
      </c>
      <c r="D113" t="s">
        <v>35</v>
      </c>
      <c r="E113" s="12" t="s">
        <v>36</v>
      </c>
      <c r="F113" s="11">
        <v>38</v>
      </c>
      <c r="G113" s="9">
        <v>6</v>
      </c>
      <c r="H113" s="9" t="s">
        <v>324</v>
      </c>
      <c r="I113" s="32" t="s">
        <v>474</v>
      </c>
      <c r="J113"/>
      <c r="K113"/>
    </row>
    <row r="114" spans="1:11" x14ac:dyDescent="0.25">
      <c r="A114" t="s">
        <v>160</v>
      </c>
      <c r="B114" t="s">
        <v>447</v>
      </c>
      <c r="C114" s="9">
        <v>12</v>
      </c>
      <c r="D114" t="s">
        <v>87</v>
      </c>
      <c r="E114" s="10" t="s">
        <v>683</v>
      </c>
      <c r="F114" s="11">
        <v>59</v>
      </c>
      <c r="G114" s="9">
        <v>1</v>
      </c>
      <c r="H114" s="9" t="s">
        <v>324</v>
      </c>
      <c r="I114" s="37" t="s">
        <v>482</v>
      </c>
      <c r="J114"/>
      <c r="K114"/>
    </row>
    <row r="115" spans="1:11" x14ac:dyDescent="0.25">
      <c r="A115" t="s">
        <v>233</v>
      </c>
      <c r="B115" t="s">
        <v>40</v>
      </c>
      <c r="C115" s="9">
        <v>1</v>
      </c>
      <c r="D115" t="s">
        <v>12</v>
      </c>
      <c r="E115" s="12" t="s">
        <v>450</v>
      </c>
      <c r="F115" s="11">
        <v>32</v>
      </c>
      <c r="G115" s="9">
        <v>1</v>
      </c>
      <c r="H115" s="9" t="s">
        <v>324</v>
      </c>
      <c r="I115" s="30" t="s">
        <v>472</v>
      </c>
      <c r="J115"/>
      <c r="K115"/>
    </row>
    <row r="116" spans="1:11" x14ac:dyDescent="0.25">
      <c r="A116" t="s">
        <v>233</v>
      </c>
      <c r="B116" t="s">
        <v>40</v>
      </c>
      <c r="C116" s="9">
        <v>1</v>
      </c>
      <c r="D116" t="s">
        <v>12</v>
      </c>
      <c r="E116" s="12" t="s">
        <v>449</v>
      </c>
      <c r="F116" s="11">
        <v>33</v>
      </c>
      <c r="G116" s="9">
        <v>1</v>
      </c>
      <c r="H116" s="9" t="s">
        <v>324</v>
      </c>
      <c r="I116" s="30" t="s">
        <v>472</v>
      </c>
      <c r="J116"/>
      <c r="K116"/>
    </row>
    <row r="117" spans="1:11" x14ac:dyDescent="0.25">
      <c r="A117" t="s">
        <v>233</v>
      </c>
      <c r="B117" t="s">
        <v>115</v>
      </c>
      <c r="C117" s="9">
        <v>4</v>
      </c>
      <c r="D117" t="s">
        <v>12</v>
      </c>
      <c r="E117" s="12" t="s">
        <v>450</v>
      </c>
      <c r="F117" s="11">
        <v>32</v>
      </c>
      <c r="G117" s="9">
        <v>1</v>
      </c>
      <c r="H117" s="9" t="s">
        <v>324</v>
      </c>
      <c r="I117" s="32" t="s">
        <v>474</v>
      </c>
      <c r="J117"/>
      <c r="K117"/>
    </row>
    <row r="118" spans="1:11" x14ac:dyDescent="0.25">
      <c r="A118" t="s">
        <v>233</v>
      </c>
      <c r="B118" t="s">
        <v>115</v>
      </c>
      <c r="C118" s="9">
        <v>4</v>
      </c>
      <c r="D118" t="s">
        <v>12</v>
      </c>
      <c r="E118" s="12" t="s">
        <v>449</v>
      </c>
      <c r="F118" s="11">
        <v>33</v>
      </c>
      <c r="G118" s="9">
        <v>1</v>
      </c>
      <c r="H118" s="9" t="s">
        <v>324</v>
      </c>
      <c r="I118" s="32" t="s">
        <v>474</v>
      </c>
      <c r="J118"/>
      <c r="K118"/>
    </row>
    <row r="119" spans="1:11" x14ac:dyDescent="0.25">
      <c r="A119" t="s">
        <v>200</v>
      </c>
      <c r="B119" t="s">
        <v>201</v>
      </c>
      <c r="C119" s="9">
        <v>8</v>
      </c>
      <c r="D119" t="s">
        <v>35</v>
      </c>
      <c r="E119" s="12" t="s">
        <v>119</v>
      </c>
      <c r="F119" s="11">
        <v>37</v>
      </c>
      <c r="G119" s="9">
        <v>3</v>
      </c>
      <c r="H119" s="9" t="s">
        <v>324</v>
      </c>
      <c r="I119" s="29" t="s">
        <v>480</v>
      </c>
      <c r="J119"/>
      <c r="K119"/>
    </row>
  </sheetData>
  <sortState xmlns:xlrd2="http://schemas.microsoft.com/office/spreadsheetml/2017/richdata2" ref="L2:M82">
    <sortCondition ref="M1:M82"/>
  </sortState>
  <phoneticPr fontId="19" type="noConversion"/>
  <conditionalFormatting sqref="I72:K80">
    <cfRule type="cellIs" dxfId="6" priority="2" operator="equal">
      <formula>"SXT"</formula>
    </cfRule>
  </conditionalFormatting>
  <conditionalFormatting sqref="M1:M1048576">
    <cfRule type="duplicateValues" dxfId="5" priority="1"/>
  </conditionalFormatting>
  <conditionalFormatting sqref="M82:M1048576 M1">
    <cfRule type="duplicateValues" dxfId="4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E52B4-D21D-4698-8FD8-DA405B5215D1}">
  <dimension ref="A1:C17"/>
  <sheetViews>
    <sheetView workbookViewId="0">
      <selection activeCell="F10" sqref="F10"/>
    </sheetView>
  </sheetViews>
  <sheetFormatPr defaultRowHeight="15" x14ac:dyDescent="0.25"/>
  <cols>
    <col min="1" max="1" width="34.42578125" customWidth="1"/>
    <col min="2" max="2" width="13.5703125" customWidth="1"/>
    <col min="3" max="3" width="12.7109375" customWidth="1"/>
  </cols>
  <sheetData>
    <row r="1" spans="1:3" ht="23.25" thickBot="1" x14ac:dyDescent="0.3">
      <c r="A1" s="40" t="s">
        <v>488</v>
      </c>
      <c r="B1" s="41" t="s">
        <v>489</v>
      </c>
      <c r="C1" s="41" t="s">
        <v>490</v>
      </c>
    </row>
    <row r="2" spans="1:3" ht="16.5" thickTop="1" thickBot="1" x14ac:dyDescent="0.3">
      <c r="A2" s="42" t="s">
        <v>196</v>
      </c>
      <c r="B2" s="43">
        <v>10</v>
      </c>
      <c r="C2" s="43">
        <v>382</v>
      </c>
    </row>
    <row r="3" spans="1:3" ht="15.75" thickBot="1" x14ac:dyDescent="0.3">
      <c r="A3" s="44" t="s">
        <v>491</v>
      </c>
      <c r="B3" s="45" t="s">
        <v>492</v>
      </c>
      <c r="C3" s="45">
        <v>77</v>
      </c>
    </row>
    <row r="4" spans="1:3" ht="15.75" thickBot="1" x14ac:dyDescent="0.3">
      <c r="A4" s="46" t="s">
        <v>493</v>
      </c>
      <c r="B4" s="47">
        <v>4</v>
      </c>
      <c r="C4" s="47">
        <v>30</v>
      </c>
    </row>
    <row r="5" spans="1:3" ht="15.75" thickBot="1" x14ac:dyDescent="0.3">
      <c r="A5" s="44" t="s">
        <v>494</v>
      </c>
      <c r="B5" s="45">
        <v>4</v>
      </c>
      <c r="C5" s="45">
        <v>10</v>
      </c>
    </row>
    <row r="6" spans="1:3" ht="15.75" thickBot="1" x14ac:dyDescent="0.3">
      <c r="A6" s="48" t="s">
        <v>495</v>
      </c>
      <c r="B6" s="47">
        <v>3</v>
      </c>
      <c r="C6" s="47">
        <v>228</v>
      </c>
    </row>
    <row r="7" spans="1:3" ht="15.75" thickBot="1" x14ac:dyDescent="0.3">
      <c r="A7" s="49" t="s">
        <v>496</v>
      </c>
      <c r="B7" s="45">
        <v>3</v>
      </c>
      <c r="C7" s="45">
        <v>16</v>
      </c>
    </row>
    <row r="8" spans="1:3" ht="15.75" thickBot="1" x14ac:dyDescent="0.3">
      <c r="A8" s="46" t="s">
        <v>497</v>
      </c>
      <c r="B8" s="47">
        <v>3</v>
      </c>
      <c r="C8" s="47">
        <v>24</v>
      </c>
    </row>
    <row r="9" spans="1:3" ht="15.75" thickBot="1" x14ac:dyDescent="0.3">
      <c r="A9" s="44" t="s">
        <v>498</v>
      </c>
      <c r="B9" s="45">
        <v>3</v>
      </c>
      <c r="C9" s="45">
        <v>8</v>
      </c>
    </row>
    <row r="10" spans="1:3" ht="15.75" thickBot="1" x14ac:dyDescent="0.3">
      <c r="A10" s="46" t="s">
        <v>61</v>
      </c>
      <c r="B10" s="47">
        <v>2</v>
      </c>
      <c r="C10" s="47">
        <v>42</v>
      </c>
    </row>
    <row r="11" spans="1:3" ht="15.75" thickBot="1" x14ac:dyDescent="0.3">
      <c r="A11" s="44" t="s">
        <v>499</v>
      </c>
      <c r="B11" s="45">
        <v>2</v>
      </c>
      <c r="C11" s="45">
        <v>80</v>
      </c>
    </row>
    <row r="12" spans="1:3" ht="15.75" thickBot="1" x14ac:dyDescent="0.3">
      <c r="A12" s="46" t="s">
        <v>24</v>
      </c>
      <c r="B12" s="47">
        <v>2</v>
      </c>
      <c r="C12" s="47">
        <v>5</v>
      </c>
    </row>
    <row r="13" spans="1:3" ht="15.75" thickBot="1" x14ac:dyDescent="0.3">
      <c r="A13" s="49" t="s">
        <v>500</v>
      </c>
      <c r="B13" s="45">
        <v>2</v>
      </c>
      <c r="C13" s="45">
        <v>12</v>
      </c>
    </row>
    <row r="14" spans="1:3" ht="15.75" thickBot="1" x14ac:dyDescent="0.3">
      <c r="A14" s="48" t="s">
        <v>501</v>
      </c>
      <c r="B14" s="47">
        <v>2</v>
      </c>
      <c r="C14" s="47">
        <v>8</v>
      </c>
    </row>
    <row r="15" spans="1:3" ht="15.75" thickBot="1" x14ac:dyDescent="0.3">
      <c r="A15" s="49" t="s">
        <v>502</v>
      </c>
      <c r="B15" s="45">
        <v>2</v>
      </c>
      <c r="C15" s="45">
        <v>18</v>
      </c>
    </row>
    <row r="16" spans="1:3" ht="15.75" thickBot="1" x14ac:dyDescent="0.3">
      <c r="A16" s="48" t="s">
        <v>395</v>
      </c>
      <c r="B16" s="47">
        <v>2</v>
      </c>
      <c r="C16" s="47">
        <v>94</v>
      </c>
    </row>
    <row r="17" spans="1:3" ht="15.75" thickBot="1" x14ac:dyDescent="0.3">
      <c r="A17" s="49" t="s">
        <v>356</v>
      </c>
      <c r="B17" s="45">
        <v>2</v>
      </c>
      <c r="C17" s="45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30058-3576-4956-BF80-0A1089975189}">
  <dimension ref="A1:HH122"/>
  <sheetViews>
    <sheetView zoomScale="55" zoomScaleNormal="55" workbookViewId="0">
      <selection activeCell="D8" sqref="D8"/>
    </sheetView>
  </sheetViews>
  <sheetFormatPr defaultRowHeight="15" x14ac:dyDescent="0.25"/>
  <cols>
    <col min="1" max="1" width="16.140625" customWidth="1"/>
    <col min="2" max="2" width="32.5703125" style="10" customWidth="1"/>
    <col min="3" max="3" width="14.28515625" style="11" bestFit="1" customWidth="1"/>
    <col min="4" max="4" width="59.42578125" style="10" customWidth="1"/>
    <col min="19" max="19" width="9.140625" style="2"/>
  </cols>
  <sheetData>
    <row r="1" spans="1:216" x14ac:dyDescent="0.25">
      <c r="A1" s="142" t="s">
        <v>737</v>
      </c>
      <c r="B1" s="143" t="s">
        <v>738</v>
      </c>
      <c r="C1" s="144">
        <v>3</v>
      </c>
      <c r="D1" s="145">
        <v>4</v>
      </c>
      <c r="E1" s="146">
        <v>6</v>
      </c>
      <c r="X1" t="s">
        <v>995</v>
      </c>
    </row>
    <row r="2" spans="1:216" s="2" customFormat="1" ht="60" x14ac:dyDescent="0.25">
      <c r="A2" s="2" t="s">
        <v>0</v>
      </c>
      <c r="B2" s="7" t="s">
        <v>316</v>
      </c>
      <c r="C2" s="8" t="s">
        <v>317</v>
      </c>
      <c r="D2" s="7" t="s">
        <v>714</v>
      </c>
      <c r="E2" s="6" t="s">
        <v>697</v>
      </c>
      <c r="F2" s="6" t="s">
        <v>698</v>
      </c>
      <c r="G2" s="6" t="s">
        <v>699</v>
      </c>
      <c r="H2" s="6" t="s">
        <v>700</v>
      </c>
      <c r="I2" s="6" t="s">
        <v>701</v>
      </c>
      <c r="J2" s="6" t="s">
        <v>702</v>
      </c>
      <c r="K2" s="6" t="s">
        <v>703</v>
      </c>
      <c r="L2" s="6" t="s">
        <v>704</v>
      </c>
      <c r="M2" s="6" t="s">
        <v>705</v>
      </c>
      <c r="N2" s="6" t="s">
        <v>706</v>
      </c>
      <c r="O2" s="6" t="s">
        <v>707</v>
      </c>
      <c r="P2" s="6" t="s">
        <v>708</v>
      </c>
      <c r="Q2" s="6" t="s">
        <v>709</v>
      </c>
      <c r="R2" s="6" t="s">
        <v>710</v>
      </c>
      <c r="S2" s="6" t="s">
        <v>711</v>
      </c>
      <c r="T2" s="2" t="s">
        <v>726</v>
      </c>
      <c r="U2" s="2" t="s">
        <v>727</v>
      </c>
      <c r="V2" s="2" t="s">
        <v>733</v>
      </c>
      <c r="X2" s="2" t="s">
        <v>0</v>
      </c>
      <c r="Y2" s="7" t="s">
        <v>316</v>
      </c>
      <c r="Z2" s="8" t="s">
        <v>317</v>
      </c>
      <c r="AA2" s="7" t="s">
        <v>714</v>
      </c>
      <c r="AB2" s="2" t="s">
        <v>904</v>
      </c>
      <c r="AC2" s="2" t="s">
        <v>905</v>
      </c>
      <c r="AD2" s="2" t="s">
        <v>906</v>
      </c>
      <c r="AE2" s="2" t="s">
        <v>907</v>
      </c>
      <c r="AF2" s="2" t="s">
        <v>908</v>
      </c>
      <c r="AG2" s="2" t="s">
        <v>909</v>
      </c>
      <c r="AH2" s="2" t="s">
        <v>910</v>
      </c>
      <c r="AI2" s="2" t="s">
        <v>911</v>
      </c>
      <c r="AJ2" s="2" t="s">
        <v>912</v>
      </c>
      <c r="AK2" s="2" t="s">
        <v>913</v>
      </c>
      <c r="AL2" s="2" t="s">
        <v>914</v>
      </c>
      <c r="AM2" s="2" t="s">
        <v>915</v>
      </c>
      <c r="AN2" s="2" t="s">
        <v>916</v>
      </c>
      <c r="AO2" s="2" t="s">
        <v>917</v>
      </c>
      <c r="AP2" s="2" t="s">
        <v>918</v>
      </c>
      <c r="AQ2" s="2" t="s">
        <v>919</v>
      </c>
      <c r="AR2" s="2" t="s">
        <v>920</v>
      </c>
      <c r="AS2" s="2" t="s">
        <v>921</v>
      </c>
      <c r="AT2" s="2" t="s">
        <v>922</v>
      </c>
      <c r="AU2" s="2" t="s">
        <v>923</v>
      </c>
      <c r="AV2" s="2" t="s">
        <v>924</v>
      </c>
      <c r="AW2" s="2" t="s">
        <v>925</v>
      </c>
      <c r="AX2" s="2" t="s">
        <v>926</v>
      </c>
      <c r="AY2" s="2" t="s">
        <v>927</v>
      </c>
      <c r="AZ2" s="2" t="s">
        <v>928</v>
      </c>
      <c r="BA2" s="2" t="s">
        <v>929</v>
      </c>
      <c r="BB2" s="2" t="s">
        <v>930</v>
      </c>
      <c r="BC2" s="2" t="s">
        <v>931</v>
      </c>
      <c r="BD2" s="2" t="s">
        <v>932</v>
      </c>
      <c r="BE2" s="2" t="s">
        <v>933</v>
      </c>
      <c r="BF2" s="2" t="s">
        <v>934</v>
      </c>
      <c r="BG2" s="2" t="s">
        <v>935</v>
      </c>
      <c r="BH2" s="2" t="s">
        <v>936</v>
      </c>
      <c r="BI2" s="2" t="s">
        <v>937</v>
      </c>
      <c r="BJ2" s="2" t="s">
        <v>938</v>
      </c>
      <c r="BK2" s="2" t="s">
        <v>939</v>
      </c>
      <c r="BL2" s="2" t="s">
        <v>940</v>
      </c>
      <c r="BM2" s="2" t="s">
        <v>941</v>
      </c>
      <c r="BN2" s="2" t="s">
        <v>942</v>
      </c>
      <c r="BO2" s="2" t="s">
        <v>943</v>
      </c>
      <c r="BP2" s="2" t="s">
        <v>944</v>
      </c>
      <c r="BQ2" s="2" t="s">
        <v>945</v>
      </c>
      <c r="BR2" s="2" t="s">
        <v>946</v>
      </c>
      <c r="BS2" s="2" t="s">
        <v>947</v>
      </c>
      <c r="BT2" s="2" t="s">
        <v>948</v>
      </c>
      <c r="BU2" s="2" t="s">
        <v>949</v>
      </c>
      <c r="BV2" s="2" t="s">
        <v>950</v>
      </c>
      <c r="BW2" s="2" t="s">
        <v>951</v>
      </c>
      <c r="BX2" s="2" t="s">
        <v>952</v>
      </c>
      <c r="BY2" s="2" t="s">
        <v>953</v>
      </c>
      <c r="BZ2" s="2" t="s">
        <v>954</v>
      </c>
      <c r="CA2" s="2" t="s">
        <v>955</v>
      </c>
      <c r="CB2" s="2" t="s">
        <v>956</v>
      </c>
      <c r="CC2" s="2" t="s">
        <v>957</v>
      </c>
      <c r="CD2" s="2" t="s">
        <v>958</v>
      </c>
      <c r="CE2" s="2" t="s">
        <v>959</v>
      </c>
      <c r="CF2" s="2" t="s">
        <v>960</v>
      </c>
      <c r="CG2" s="2" t="s">
        <v>961</v>
      </c>
      <c r="CH2" s="2" t="s">
        <v>962</v>
      </c>
      <c r="CI2" s="2" t="s">
        <v>963</v>
      </c>
      <c r="CJ2" s="2" t="s">
        <v>964</v>
      </c>
      <c r="CK2" s="2" t="s">
        <v>965</v>
      </c>
      <c r="CL2" s="2" t="s">
        <v>966</v>
      </c>
      <c r="CM2" s="2" t="s">
        <v>967</v>
      </c>
      <c r="CN2" s="2" t="s">
        <v>968</v>
      </c>
      <c r="CO2" s="2" t="s">
        <v>969</v>
      </c>
      <c r="CP2" s="2" t="s">
        <v>970</v>
      </c>
      <c r="CQ2" s="2" t="s">
        <v>971</v>
      </c>
      <c r="CR2" s="2" t="s">
        <v>972</v>
      </c>
      <c r="CS2" s="2" t="s">
        <v>973</v>
      </c>
      <c r="CT2" s="2" t="s">
        <v>974</v>
      </c>
      <c r="CU2" s="2" t="s">
        <v>975</v>
      </c>
      <c r="CV2" s="2" t="s">
        <v>976</v>
      </c>
      <c r="CW2" s="2" t="s">
        <v>977</v>
      </c>
      <c r="CX2" s="2" t="s">
        <v>978</v>
      </c>
      <c r="CY2" s="2" t="s">
        <v>979</v>
      </c>
      <c r="CZ2" s="2" t="s">
        <v>980</v>
      </c>
      <c r="DA2" s="2" t="s">
        <v>981</v>
      </c>
      <c r="DB2" s="2" t="s">
        <v>982</v>
      </c>
      <c r="DC2" s="2" t="s">
        <v>983</v>
      </c>
      <c r="DD2" s="2" t="s">
        <v>984</v>
      </c>
      <c r="DE2" s="2" t="s">
        <v>985</v>
      </c>
      <c r="DF2" s="2" t="s">
        <v>986</v>
      </c>
      <c r="DG2" s="2" t="s">
        <v>987</v>
      </c>
      <c r="DH2" s="2" t="s">
        <v>988</v>
      </c>
      <c r="DI2" s="2" t="s">
        <v>989</v>
      </c>
      <c r="DJ2" s="2" t="s">
        <v>990</v>
      </c>
      <c r="DK2" s="2" t="s">
        <v>991</v>
      </c>
      <c r="DL2" s="2" t="s">
        <v>992</v>
      </c>
      <c r="DM2" s="2" t="s">
        <v>993</v>
      </c>
      <c r="DN2" s="2" t="s">
        <v>994</v>
      </c>
      <c r="DP2" s="2" t="s">
        <v>1041</v>
      </c>
      <c r="DQ2" s="2" t="s">
        <v>0</v>
      </c>
      <c r="DR2" s="7" t="s">
        <v>316</v>
      </c>
      <c r="DS2" s="8" t="s">
        <v>317</v>
      </c>
      <c r="DT2" s="7" t="s">
        <v>714</v>
      </c>
      <c r="DU2" s="2" t="s">
        <v>904</v>
      </c>
      <c r="DV2" s="2" t="s">
        <v>905</v>
      </c>
      <c r="DW2" s="2" t="s">
        <v>906</v>
      </c>
      <c r="DX2" s="2" t="s">
        <v>907</v>
      </c>
      <c r="DY2" s="2" t="s">
        <v>908</v>
      </c>
      <c r="DZ2" s="2" t="s">
        <v>909</v>
      </c>
      <c r="EA2" s="2" t="s">
        <v>910</v>
      </c>
      <c r="EB2" s="2" t="s">
        <v>911</v>
      </c>
      <c r="EC2" s="2" t="s">
        <v>912</v>
      </c>
      <c r="ED2" s="2" t="s">
        <v>913</v>
      </c>
      <c r="EE2" s="2" t="s">
        <v>914</v>
      </c>
      <c r="EF2" s="2" t="s">
        <v>915</v>
      </c>
      <c r="EG2" s="2" t="s">
        <v>916</v>
      </c>
      <c r="EH2" s="2" t="s">
        <v>917</v>
      </c>
      <c r="EI2" s="2" t="s">
        <v>918</v>
      </c>
      <c r="EJ2" s="2" t="s">
        <v>919</v>
      </c>
      <c r="EK2" s="2" t="s">
        <v>920</v>
      </c>
      <c r="EL2" s="2" t="s">
        <v>921</v>
      </c>
      <c r="EM2" s="2" t="s">
        <v>922</v>
      </c>
      <c r="EN2" s="2" t="s">
        <v>923</v>
      </c>
      <c r="EO2" s="2" t="s">
        <v>924</v>
      </c>
      <c r="EP2" s="2" t="s">
        <v>925</v>
      </c>
      <c r="EQ2" s="2" t="s">
        <v>926</v>
      </c>
      <c r="ER2" s="2" t="s">
        <v>927</v>
      </c>
      <c r="ES2" s="2" t="s">
        <v>928</v>
      </c>
      <c r="ET2" s="2" t="s">
        <v>929</v>
      </c>
      <c r="EU2" s="2" t="s">
        <v>930</v>
      </c>
      <c r="EV2" s="2" t="s">
        <v>931</v>
      </c>
      <c r="EW2" s="2" t="s">
        <v>932</v>
      </c>
      <c r="EX2" s="2" t="s">
        <v>933</v>
      </c>
      <c r="EY2" s="2" t="s">
        <v>934</v>
      </c>
      <c r="EZ2" s="2" t="s">
        <v>935</v>
      </c>
      <c r="FA2" s="2" t="s">
        <v>936</v>
      </c>
      <c r="FB2" s="2" t="s">
        <v>937</v>
      </c>
      <c r="FC2" s="2" t="s">
        <v>938</v>
      </c>
      <c r="FD2" s="2" t="s">
        <v>939</v>
      </c>
      <c r="FE2" s="2" t="s">
        <v>940</v>
      </c>
      <c r="FF2" s="2" t="s">
        <v>941</v>
      </c>
      <c r="FG2" s="2" t="s">
        <v>942</v>
      </c>
      <c r="FH2" s="2" t="s">
        <v>943</v>
      </c>
      <c r="FI2" s="2" t="s">
        <v>944</v>
      </c>
      <c r="FJ2" s="2" t="s">
        <v>945</v>
      </c>
      <c r="FK2" s="2" t="s">
        <v>946</v>
      </c>
      <c r="FL2" s="2" t="s">
        <v>947</v>
      </c>
      <c r="FM2" s="2" t="s">
        <v>948</v>
      </c>
      <c r="FN2" s="2" t="s">
        <v>949</v>
      </c>
      <c r="FO2" s="2" t="s">
        <v>950</v>
      </c>
      <c r="FP2" s="2" t="s">
        <v>951</v>
      </c>
      <c r="FQ2" s="2" t="s">
        <v>952</v>
      </c>
      <c r="FR2" s="2" t="s">
        <v>953</v>
      </c>
      <c r="FS2" s="2" t="s">
        <v>954</v>
      </c>
      <c r="FT2" s="2" t="s">
        <v>955</v>
      </c>
      <c r="FU2" s="2" t="s">
        <v>956</v>
      </c>
      <c r="FV2" s="2" t="s">
        <v>957</v>
      </c>
      <c r="FW2" s="2" t="s">
        <v>958</v>
      </c>
      <c r="FX2" s="2" t="s">
        <v>959</v>
      </c>
      <c r="FY2" s="2" t="s">
        <v>960</v>
      </c>
      <c r="FZ2" s="2" t="s">
        <v>961</v>
      </c>
      <c r="GA2" s="2" t="s">
        <v>962</v>
      </c>
      <c r="GB2" s="2" t="s">
        <v>963</v>
      </c>
      <c r="GC2" s="2" t="s">
        <v>964</v>
      </c>
      <c r="GD2" s="2" t="s">
        <v>965</v>
      </c>
      <c r="GE2" s="2" t="s">
        <v>966</v>
      </c>
      <c r="GF2" s="2" t="s">
        <v>967</v>
      </c>
      <c r="GG2" s="2" t="s">
        <v>968</v>
      </c>
      <c r="GH2" s="2" t="s">
        <v>969</v>
      </c>
      <c r="GI2" s="2" t="s">
        <v>970</v>
      </c>
      <c r="GJ2" s="2" t="s">
        <v>971</v>
      </c>
      <c r="GK2" s="2" t="s">
        <v>972</v>
      </c>
      <c r="GL2" s="2" t="s">
        <v>973</v>
      </c>
      <c r="GM2" s="2" t="s">
        <v>974</v>
      </c>
      <c r="GN2" s="2" t="s">
        <v>975</v>
      </c>
      <c r="GO2" s="2" t="s">
        <v>976</v>
      </c>
      <c r="GP2" s="2" t="s">
        <v>977</v>
      </c>
      <c r="GQ2" s="2" t="s">
        <v>978</v>
      </c>
      <c r="GR2" s="2" t="s">
        <v>979</v>
      </c>
      <c r="GS2" s="2" t="s">
        <v>980</v>
      </c>
      <c r="GT2" s="2" t="s">
        <v>981</v>
      </c>
      <c r="GU2" s="2" t="s">
        <v>982</v>
      </c>
      <c r="GV2" s="2" t="s">
        <v>983</v>
      </c>
      <c r="GW2" s="2" t="s">
        <v>984</v>
      </c>
      <c r="GX2" s="2" t="s">
        <v>985</v>
      </c>
      <c r="GY2" s="2" t="s">
        <v>986</v>
      </c>
      <c r="GZ2" s="2" t="s">
        <v>987</v>
      </c>
      <c r="HA2" s="2" t="s">
        <v>988</v>
      </c>
      <c r="HB2" s="2" t="s">
        <v>989</v>
      </c>
      <c r="HC2" s="2" t="s">
        <v>990</v>
      </c>
      <c r="HD2" s="2" t="s">
        <v>991</v>
      </c>
      <c r="HE2" s="2" t="s">
        <v>992</v>
      </c>
      <c r="HF2" s="2" t="s">
        <v>993</v>
      </c>
      <c r="HG2" s="2" t="s">
        <v>994</v>
      </c>
    </row>
    <row r="3" spans="1:216" ht="45" x14ac:dyDescent="0.25">
      <c r="A3" t="s">
        <v>220</v>
      </c>
      <c r="B3" s="10" t="s">
        <v>385</v>
      </c>
      <c r="C3" s="11">
        <v>42</v>
      </c>
      <c r="D3" t="s">
        <v>576</v>
      </c>
      <c r="E3" s="9">
        <v>1</v>
      </c>
      <c r="F3" s="9">
        <v>1</v>
      </c>
      <c r="G3" s="9">
        <v>1</v>
      </c>
      <c r="H3" s="9">
        <v>1</v>
      </c>
      <c r="I3" s="9">
        <v>0</v>
      </c>
      <c r="J3" s="9">
        <v>1</v>
      </c>
      <c r="K3" s="9">
        <v>0</v>
      </c>
      <c r="L3" s="9">
        <v>1</v>
      </c>
      <c r="M3" s="9">
        <v>1</v>
      </c>
      <c r="N3" s="9">
        <v>0</v>
      </c>
      <c r="O3" s="9">
        <v>1</v>
      </c>
      <c r="P3" s="9">
        <v>0</v>
      </c>
      <c r="Q3" s="9">
        <v>0</v>
      </c>
      <c r="R3" s="9">
        <v>0</v>
      </c>
      <c r="S3" s="6">
        <f>SUM(E3:R3)</f>
        <v>8</v>
      </c>
      <c r="X3" t="s">
        <v>66</v>
      </c>
      <c r="Y3" s="12" t="s">
        <v>422</v>
      </c>
      <c r="Z3" s="11">
        <v>1</v>
      </c>
      <c r="AA3" t="s">
        <v>590</v>
      </c>
      <c r="AB3">
        <v>1</v>
      </c>
      <c r="AC3">
        <v>1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Q3" t="s">
        <v>66</v>
      </c>
      <c r="DR3" s="12" t="s">
        <v>422</v>
      </c>
      <c r="DS3" s="11">
        <v>1</v>
      </c>
      <c r="DT3" t="s">
        <v>590</v>
      </c>
      <c r="DU3">
        <v>1</v>
      </c>
      <c r="DX3">
        <v>1</v>
      </c>
      <c r="DY3">
        <v>1</v>
      </c>
      <c r="EB3">
        <v>1</v>
      </c>
      <c r="EJ3">
        <v>1</v>
      </c>
      <c r="EK3">
        <v>1</v>
      </c>
      <c r="EN3">
        <v>1</v>
      </c>
      <c r="FO3">
        <v>1</v>
      </c>
      <c r="FR3">
        <v>1</v>
      </c>
      <c r="FZ3">
        <v>1</v>
      </c>
    </row>
    <row r="4" spans="1:216" ht="60" x14ac:dyDescent="0.25">
      <c r="A4" t="s">
        <v>76</v>
      </c>
      <c r="B4" s="12" t="s">
        <v>78</v>
      </c>
      <c r="C4" s="11">
        <v>10</v>
      </c>
      <c r="D4" t="s">
        <v>567</v>
      </c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0</v>
      </c>
      <c r="L4" s="9">
        <v>0</v>
      </c>
      <c r="M4" s="9">
        <v>1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6">
        <f>SUM(E4:R4)</f>
        <v>7</v>
      </c>
      <c r="T4" t="s">
        <v>734</v>
      </c>
      <c r="V4" t="s">
        <v>735</v>
      </c>
      <c r="X4" t="s">
        <v>64</v>
      </c>
      <c r="Y4" s="12" t="s">
        <v>400</v>
      </c>
      <c r="Z4" s="11">
        <v>2</v>
      </c>
      <c r="AA4" t="s">
        <v>583</v>
      </c>
      <c r="AB4">
        <v>1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Q4" t="s">
        <v>64</v>
      </c>
      <c r="DR4" s="12" t="s">
        <v>400</v>
      </c>
      <c r="DS4" s="11">
        <v>2</v>
      </c>
      <c r="DT4" t="s">
        <v>583</v>
      </c>
      <c r="DU4">
        <v>1</v>
      </c>
      <c r="DY4">
        <v>1</v>
      </c>
      <c r="DZ4">
        <v>1</v>
      </c>
      <c r="EB4">
        <v>1</v>
      </c>
      <c r="EK4">
        <v>1</v>
      </c>
      <c r="EL4">
        <v>1</v>
      </c>
      <c r="EN4">
        <v>1</v>
      </c>
      <c r="FX4">
        <v>1</v>
      </c>
      <c r="FZ4">
        <v>1</v>
      </c>
      <c r="GG4">
        <v>1</v>
      </c>
    </row>
    <row r="5" spans="1:216" ht="45" x14ac:dyDescent="0.25">
      <c r="A5" t="s">
        <v>105</v>
      </c>
      <c r="B5" s="10" t="s">
        <v>335</v>
      </c>
      <c r="C5" s="11">
        <v>36</v>
      </c>
      <c r="D5" t="s">
        <v>559</v>
      </c>
      <c r="E5" s="9">
        <v>1</v>
      </c>
      <c r="F5" s="9">
        <v>1</v>
      </c>
      <c r="G5" s="9">
        <v>1</v>
      </c>
      <c r="H5" s="9">
        <v>1</v>
      </c>
      <c r="I5" s="9">
        <v>0</v>
      </c>
      <c r="J5" s="9">
        <v>1</v>
      </c>
      <c r="K5" s="9">
        <v>1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1</v>
      </c>
      <c r="R5" s="9">
        <v>0</v>
      </c>
      <c r="S5" s="6">
        <f>SUM(E5:R5)</f>
        <v>7</v>
      </c>
      <c r="X5" t="s">
        <v>108</v>
      </c>
      <c r="Y5" s="12" t="s">
        <v>514</v>
      </c>
      <c r="Z5" s="11">
        <v>3</v>
      </c>
      <c r="AA5" t="s">
        <v>560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Q5" t="s">
        <v>108</v>
      </c>
      <c r="DR5" s="12" t="s">
        <v>514</v>
      </c>
      <c r="DS5" s="11">
        <v>3</v>
      </c>
      <c r="DT5" t="s">
        <v>560</v>
      </c>
      <c r="DU5">
        <v>1</v>
      </c>
      <c r="DV5">
        <v>1</v>
      </c>
      <c r="DZ5">
        <v>1</v>
      </c>
      <c r="EH5">
        <v>1</v>
      </c>
      <c r="EL5">
        <v>1</v>
      </c>
      <c r="EW5">
        <v>1</v>
      </c>
    </row>
    <row r="6" spans="1:216" s="121" customFormat="1" ht="45" x14ac:dyDescent="0.25">
      <c r="A6" s="121" t="s">
        <v>203</v>
      </c>
      <c r="B6" s="137" t="s">
        <v>36</v>
      </c>
      <c r="C6" s="138">
        <v>38</v>
      </c>
      <c r="D6" s="121" t="s">
        <v>598</v>
      </c>
      <c r="E6" s="139">
        <v>1</v>
      </c>
      <c r="F6" s="139">
        <v>1</v>
      </c>
      <c r="G6" s="139">
        <v>1</v>
      </c>
      <c r="H6" s="139">
        <v>1</v>
      </c>
      <c r="I6" s="139">
        <v>1</v>
      </c>
      <c r="J6" s="139">
        <v>1</v>
      </c>
      <c r="K6" s="139">
        <v>0</v>
      </c>
      <c r="L6" s="139">
        <v>1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40">
        <f>SUM(E6:R6)</f>
        <v>7</v>
      </c>
      <c r="W6"/>
      <c r="X6" t="s">
        <v>242</v>
      </c>
      <c r="Y6" s="12" t="s">
        <v>244</v>
      </c>
      <c r="Z6" s="11">
        <v>4</v>
      </c>
      <c r="AA6" t="s">
        <v>556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/>
      <c r="DP6"/>
      <c r="DQ6" t="s">
        <v>242</v>
      </c>
      <c r="DR6" s="12" t="s">
        <v>244</v>
      </c>
      <c r="DS6" s="11">
        <v>4</v>
      </c>
      <c r="DT6" t="s">
        <v>556</v>
      </c>
      <c r="DU6"/>
      <c r="DV6"/>
      <c r="DW6"/>
      <c r="DX6">
        <v>1</v>
      </c>
      <c r="DY6"/>
      <c r="DZ6"/>
      <c r="EA6"/>
      <c r="EB6">
        <v>1</v>
      </c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>
        <v>1</v>
      </c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</row>
    <row r="7" spans="1:216" s="119" customFormat="1" ht="45" x14ac:dyDescent="0.25">
      <c r="A7" s="121" t="s">
        <v>203</v>
      </c>
      <c r="B7" s="137" t="s">
        <v>36</v>
      </c>
      <c r="C7" s="138">
        <v>38</v>
      </c>
      <c r="D7" s="121" t="s">
        <v>598</v>
      </c>
      <c r="E7" s="139">
        <v>1</v>
      </c>
      <c r="F7" s="139">
        <v>1</v>
      </c>
      <c r="G7" s="139">
        <v>1</v>
      </c>
      <c r="H7" s="139">
        <v>1</v>
      </c>
      <c r="I7" s="139">
        <v>1</v>
      </c>
      <c r="J7" s="139">
        <v>1</v>
      </c>
      <c r="K7" s="139">
        <v>0</v>
      </c>
      <c r="L7" s="139">
        <v>1</v>
      </c>
      <c r="M7" s="139">
        <v>0</v>
      </c>
      <c r="N7" s="139">
        <v>0</v>
      </c>
      <c r="O7" s="139">
        <v>0</v>
      </c>
      <c r="P7" s="139">
        <v>0</v>
      </c>
      <c r="Q7" s="139">
        <v>0</v>
      </c>
      <c r="R7" s="139">
        <v>0</v>
      </c>
      <c r="S7" s="140">
        <f>SUM(E7:R7)</f>
        <v>7</v>
      </c>
      <c r="T7" s="121"/>
      <c r="U7" s="121"/>
      <c r="V7" s="121"/>
      <c r="X7" s="119" t="s">
        <v>114</v>
      </c>
      <c r="Y7" s="132" t="s">
        <v>97</v>
      </c>
      <c r="Z7" s="135">
        <v>5</v>
      </c>
      <c r="AA7" s="119" t="s">
        <v>564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/>
      <c r="DP7"/>
      <c r="DQ7" s="119" t="s">
        <v>996</v>
      </c>
      <c r="DR7" s="132" t="s">
        <v>97</v>
      </c>
      <c r="DS7" s="135"/>
      <c r="DU7">
        <v>1</v>
      </c>
      <c r="DV7">
        <v>1</v>
      </c>
      <c r="DW7">
        <v>0</v>
      </c>
      <c r="DX7">
        <v>0</v>
      </c>
      <c r="DY7">
        <v>0</v>
      </c>
      <c r="DZ7">
        <v>0</v>
      </c>
      <c r="EA7">
        <v>1</v>
      </c>
      <c r="EB7">
        <v>3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1</v>
      </c>
      <c r="EN7">
        <v>1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1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1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/>
      <c r="HH7"/>
    </row>
    <row r="8" spans="1:216" s="119" customFormat="1" ht="45" x14ac:dyDescent="0.25">
      <c r="A8" s="121" t="s">
        <v>203</v>
      </c>
      <c r="B8" s="137" t="s">
        <v>36</v>
      </c>
      <c r="C8" s="138">
        <v>38</v>
      </c>
      <c r="D8" s="121" t="s">
        <v>598</v>
      </c>
      <c r="E8" s="139">
        <v>1</v>
      </c>
      <c r="F8" s="139">
        <v>1</v>
      </c>
      <c r="G8" s="139">
        <v>1</v>
      </c>
      <c r="H8" s="139">
        <v>1</v>
      </c>
      <c r="I8" s="139">
        <v>1</v>
      </c>
      <c r="J8" s="139">
        <v>1</v>
      </c>
      <c r="K8" s="139">
        <v>0</v>
      </c>
      <c r="L8" s="139">
        <v>1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40">
        <f>SUM(E8:R8)</f>
        <v>7</v>
      </c>
      <c r="T8" s="121"/>
      <c r="U8" s="121"/>
      <c r="V8" s="121"/>
      <c r="X8" s="119" t="s">
        <v>95</v>
      </c>
      <c r="Y8" s="132" t="s">
        <v>97</v>
      </c>
      <c r="Z8" s="135">
        <v>5</v>
      </c>
      <c r="AA8" s="119" t="s">
        <v>565</v>
      </c>
      <c r="AB8">
        <v>1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/>
      <c r="DP8"/>
      <c r="DQ8" s="20" t="s">
        <v>997</v>
      </c>
      <c r="DR8" s="123" t="s">
        <v>135</v>
      </c>
      <c r="DS8" s="134"/>
      <c r="DT8" s="20"/>
      <c r="DU8">
        <v>2</v>
      </c>
      <c r="DV8">
        <v>0</v>
      </c>
      <c r="DW8">
        <v>0</v>
      </c>
      <c r="DX8">
        <v>0</v>
      </c>
      <c r="DY8">
        <v>0</v>
      </c>
      <c r="DZ8">
        <v>0</v>
      </c>
      <c r="EA8">
        <v>1</v>
      </c>
      <c r="EB8">
        <v>2</v>
      </c>
      <c r="EC8">
        <v>0</v>
      </c>
      <c r="ED8">
        <v>1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1</v>
      </c>
      <c r="EL8">
        <v>0</v>
      </c>
      <c r="EM8">
        <v>1</v>
      </c>
      <c r="EN8">
        <v>2</v>
      </c>
      <c r="EO8">
        <v>0</v>
      </c>
      <c r="EP8">
        <v>1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1</v>
      </c>
      <c r="GA8">
        <v>0</v>
      </c>
      <c r="GB8">
        <v>1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1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1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/>
    </row>
    <row r="9" spans="1:216" s="119" customFormat="1" ht="60" x14ac:dyDescent="0.25">
      <c r="A9" t="s">
        <v>220</v>
      </c>
      <c r="B9" s="10" t="s">
        <v>528</v>
      </c>
      <c r="C9" s="11">
        <v>43</v>
      </c>
      <c r="D9" t="s">
        <v>577</v>
      </c>
      <c r="E9" s="9">
        <v>1</v>
      </c>
      <c r="F9" s="9">
        <v>1</v>
      </c>
      <c r="G9" s="9">
        <v>1</v>
      </c>
      <c r="H9" s="9">
        <v>1</v>
      </c>
      <c r="I9" s="9">
        <v>0</v>
      </c>
      <c r="J9" s="9">
        <v>1</v>
      </c>
      <c r="K9" s="9">
        <v>0</v>
      </c>
      <c r="L9" s="9">
        <v>0</v>
      </c>
      <c r="M9" s="9">
        <v>1</v>
      </c>
      <c r="N9" s="9">
        <v>0</v>
      </c>
      <c r="O9" s="9">
        <v>1</v>
      </c>
      <c r="P9" s="9">
        <v>0</v>
      </c>
      <c r="Q9" s="9">
        <v>0</v>
      </c>
      <c r="R9" s="9">
        <v>0</v>
      </c>
      <c r="S9" s="6">
        <f>SUM(E9:R9)</f>
        <v>7</v>
      </c>
      <c r="T9"/>
      <c r="U9"/>
      <c r="V9"/>
      <c r="X9" s="119" t="s">
        <v>199</v>
      </c>
      <c r="Y9" s="132" t="s">
        <v>97</v>
      </c>
      <c r="Z9" s="135">
        <v>5</v>
      </c>
      <c r="AA9" s="119" t="s">
        <v>566</v>
      </c>
      <c r="AB9">
        <v>1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/>
      <c r="DP9"/>
      <c r="DQ9" t="s">
        <v>148</v>
      </c>
      <c r="DR9" s="10" t="s">
        <v>998</v>
      </c>
      <c r="DS9" s="11">
        <v>7</v>
      </c>
      <c r="DT9" t="s">
        <v>724</v>
      </c>
      <c r="DU9">
        <v>1</v>
      </c>
      <c r="DV9"/>
      <c r="DW9"/>
      <c r="DX9"/>
      <c r="DY9"/>
      <c r="DZ9"/>
      <c r="EA9"/>
      <c r="EB9"/>
      <c r="EC9"/>
      <c r="ED9"/>
      <c r="EE9">
        <v>1</v>
      </c>
      <c r="EF9"/>
      <c r="EG9"/>
      <c r="EH9"/>
      <c r="EI9"/>
      <c r="EJ9"/>
      <c r="EK9"/>
      <c r="EL9"/>
      <c r="EM9"/>
      <c r="EN9"/>
      <c r="EO9"/>
      <c r="EP9"/>
      <c r="EQ9">
        <v>1</v>
      </c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</row>
    <row r="10" spans="1:216" ht="60" x14ac:dyDescent="0.25">
      <c r="A10" t="s">
        <v>187</v>
      </c>
      <c r="B10" s="12" t="s">
        <v>520</v>
      </c>
      <c r="C10" s="11">
        <v>16</v>
      </c>
      <c r="D10" t="s">
        <v>568</v>
      </c>
      <c r="E10" s="9">
        <v>1</v>
      </c>
      <c r="F10" s="9">
        <v>1</v>
      </c>
      <c r="G10" s="9">
        <v>0</v>
      </c>
      <c r="H10" s="9">
        <v>1</v>
      </c>
      <c r="I10" s="9">
        <v>0</v>
      </c>
      <c r="J10" s="9">
        <v>1</v>
      </c>
      <c r="K10" s="9">
        <v>1</v>
      </c>
      <c r="L10" s="9">
        <v>0</v>
      </c>
      <c r="M10" s="9">
        <v>0</v>
      </c>
      <c r="N10" s="9">
        <v>1</v>
      </c>
      <c r="O10" s="9">
        <v>0</v>
      </c>
      <c r="P10" s="9">
        <v>0</v>
      </c>
      <c r="Q10" s="9">
        <v>0</v>
      </c>
      <c r="R10" s="9">
        <v>0</v>
      </c>
      <c r="S10" s="6">
        <f>SUM(E10:R10)</f>
        <v>6</v>
      </c>
      <c r="X10" s="20" t="s">
        <v>133</v>
      </c>
      <c r="Y10" s="123" t="s">
        <v>135</v>
      </c>
      <c r="Z10" s="134">
        <v>6</v>
      </c>
      <c r="AA10" s="20" t="s">
        <v>566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 s="2"/>
      <c r="DP10" s="2"/>
      <c r="DQ10" t="s">
        <v>128</v>
      </c>
      <c r="DR10" s="10" t="s">
        <v>999</v>
      </c>
      <c r="DS10" s="11">
        <v>8</v>
      </c>
      <c r="DT10" t="s">
        <v>161</v>
      </c>
      <c r="DV10">
        <v>1</v>
      </c>
    </row>
    <row r="11" spans="1:216" ht="45" x14ac:dyDescent="0.25">
      <c r="A11" t="s">
        <v>32</v>
      </c>
      <c r="B11" s="12" t="s">
        <v>522</v>
      </c>
      <c r="C11" s="11">
        <v>28</v>
      </c>
      <c r="D11" t="s">
        <v>563</v>
      </c>
      <c r="E11" s="9">
        <v>1</v>
      </c>
      <c r="F11" s="9">
        <v>1</v>
      </c>
      <c r="G11" s="9">
        <v>1</v>
      </c>
      <c r="H11" s="9">
        <v>1</v>
      </c>
      <c r="I11" s="9">
        <v>1</v>
      </c>
      <c r="J11" s="9">
        <v>0</v>
      </c>
      <c r="K11" s="9">
        <v>1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6">
        <f>SUM(E11:R11)</f>
        <v>6</v>
      </c>
      <c r="T11" t="s">
        <v>731</v>
      </c>
      <c r="U11" t="s">
        <v>730</v>
      </c>
      <c r="X11" s="20" t="s">
        <v>213</v>
      </c>
      <c r="Y11" s="123" t="s">
        <v>135</v>
      </c>
      <c r="Z11" s="134">
        <v>6</v>
      </c>
      <c r="AA11" s="20" t="s">
        <v>571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Q11" t="s">
        <v>138</v>
      </c>
      <c r="DR11" s="12" t="s">
        <v>418</v>
      </c>
      <c r="DS11" s="11">
        <v>9</v>
      </c>
      <c r="DT11" t="s">
        <v>127</v>
      </c>
      <c r="DU11">
        <v>1</v>
      </c>
    </row>
    <row r="12" spans="1:216" s="20" customFormat="1" ht="60" x14ac:dyDescent="0.25">
      <c r="A12" s="120" t="s">
        <v>250</v>
      </c>
      <c r="B12" s="126" t="s">
        <v>74</v>
      </c>
      <c r="C12" s="136">
        <v>30</v>
      </c>
      <c r="D12" s="120" t="s">
        <v>572</v>
      </c>
      <c r="E12" s="127">
        <v>1</v>
      </c>
      <c r="F12" s="127">
        <v>1</v>
      </c>
      <c r="G12" s="127">
        <v>1</v>
      </c>
      <c r="H12" s="127">
        <v>0</v>
      </c>
      <c r="I12" s="127">
        <v>1</v>
      </c>
      <c r="J12" s="127">
        <v>0</v>
      </c>
      <c r="K12" s="127">
        <v>1</v>
      </c>
      <c r="L12" s="127">
        <v>0</v>
      </c>
      <c r="M12" s="127">
        <v>1</v>
      </c>
      <c r="N12" s="127">
        <v>0</v>
      </c>
      <c r="O12" s="127">
        <v>0</v>
      </c>
      <c r="P12" s="127">
        <v>0</v>
      </c>
      <c r="Q12" s="127">
        <v>0</v>
      </c>
      <c r="R12" s="127">
        <v>0</v>
      </c>
      <c r="S12" s="128">
        <f>SUM(E12:R12)</f>
        <v>6</v>
      </c>
      <c r="T12" s="120"/>
      <c r="U12" s="120"/>
      <c r="V12" s="120"/>
      <c r="W12"/>
      <c r="X12" t="s">
        <v>148</v>
      </c>
      <c r="Y12" s="10" t="s">
        <v>515</v>
      </c>
      <c r="Z12" s="11">
        <v>7</v>
      </c>
      <c r="AA12" t="s">
        <v>724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/>
      <c r="DP12"/>
      <c r="DQ12" t="s">
        <v>76</v>
      </c>
      <c r="DR12" s="12" t="s">
        <v>78</v>
      </c>
      <c r="DS12" s="11">
        <v>10</v>
      </c>
      <c r="DT12" t="s">
        <v>567</v>
      </c>
      <c r="DU12">
        <v>1</v>
      </c>
      <c r="DV12">
        <v>1</v>
      </c>
      <c r="DW12">
        <v>1</v>
      </c>
      <c r="DX12">
        <v>1</v>
      </c>
      <c r="DY12">
        <v>1</v>
      </c>
      <c r="DZ12"/>
      <c r="EA12"/>
      <c r="EB12">
        <v>1</v>
      </c>
      <c r="EC12"/>
      <c r="ED12"/>
      <c r="EE12"/>
      <c r="EF12"/>
      <c r="EG12"/>
      <c r="EH12">
        <v>1</v>
      </c>
      <c r="EI12">
        <v>1</v>
      </c>
      <c r="EJ12">
        <v>1</v>
      </c>
      <c r="EK12">
        <v>1</v>
      </c>
      <c r="EL12"/>
      <c r="EM12"/>
      <c r="EN12">
        <v>1</v>
      </c>
      <c r="EO12"/>
      <c r="EP12"/>
      <c r="EQ12"/>
      <c r="ER12"/>
      <c r="ES12"/>
      <c r="ET12">
        <v>1</v>
      </c>
      <c r="EU12">
        <v>1</v>
      </c>
      <c r="EV12">
        <v>1</v>
      </c>
      <c r="EW12"/>
      <c r="EX12"/>
      <c r="EY12">
        <v>1</v>
      </c>
      <c r="EZ12"/>
      <c r="FA12"/>
      <c r="FB12"/>
      <c r="FC12"/>
      <c r="FD12"/>
      <c r="FE12">
        <v>1</v>
      </c>
      <c r="FF12">
        <v>1</v>
      </c>
      <c r="FG12"/>
      <c r="FH12"/>
      <c r="FI12">
        <v>1</v>
      </c>
      <c r="FJ12"/>
      <c r="FK12"/>
      <c r="FL12"/>
      <c r="FM12"/>
      <c r="FN12"/>
      <c r="FO12">
        <v>1</v>
      </c>
      <c r="FP12"/>
      <c r="FQ12"/>
      <c r="FR12">
        <v>1</v>
      </c>
      <c r="FS12"/>
      <c r="FT12"/>
      <c r="FU12"/>
      <c r="FV12"/>
      <c r="FW12"/>
      <c r="FX12"/>
      <c r="FY12"/>
      <c r="FZ12">
        <v>1</v>
      </c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</row>
    <row r="13" spans="1:216" s="20" customFormat="1" ht="60" x14ac:dyDescent="0.25">
      <c r="A13" s="20" t="s">
        <v>253</v>
      </c>
      <c r="B13" s="118" t="s">
        <v>682</v>
      </c>
      <c r="C13" s="134">
        <v>65</v>
      </c>
      <c r="D13" s="20" t="s">
        <v>255</v>
      </c>
      <c r="E13" s="124">
        <v>0</v>
      </c>
      <c r="F13" s="124">
        <v>1</v>
      </c>
      <c r="G13" s="124">
        <v>1</v>
      </c>
      <c r="H13" s="124">
        <v>1</v>
      </c>
      <c r="I13" s="124">
        <v>1</v>
      </c>
      <c r="J13" s="124">
        <v>1</v>
      </c>
      <c r="K13" s="124">
        <v>0</v>
      </c>
      <c r="L13" s="124">
        <v>0</v>
      </c>
      <c r="M13" s="124">
        <v>0</v>
      </c>
      <c r="N13" s="124">
        <v>1</v>
      </c>
      <c r="O13" s="124">
        <v>0</v>
      </c>
      <c r="P13" s="124">
        <v>0</v>
      </c>
      <c r="Q13" s="124">
        <v>0</v>
      </c>
      <c r="R13" s="124">
        <v>0</v>
      </c>
      <c r="S13" s="125">
        <f>SUM(E13:R13)</f>
        <v>6</v>
      </c>
      <c r="W13"/>
      <c r="X13" t="s">
        <v>128</v>
      </c>
      <c r="Y13" s="10" t="s">
        <v>516</v>
      </c>
      <c r="Z13" s="11">
        <v>8</v>
      </c>
      <c r="AA13" t="s">
        <v>161</v>
      </c>
      <c r="AB13">
        <v>1</v>
      </c>
      <c r="AC13">
        <v>1</v>
      </c>
      <c r="AD13">
        <v>1</v>
      </c>
      <c r="AE13">
        <v>0</v>
      </c>
      <c r="AF13">
        <v>1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1</v>
      </c>
      <c r="AP13">
        <v>1</v>
      </c>
      <c r="AQ13">
        <v>0</v>
      </c>
      <c r="AR13">
        <v>1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1</v>
      </c>
      <c r="BB13">
        <v>0</v>
      </c>
      <c r="BC13">
        <v>1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0</v>
      </c>
      <c r="BL13">
        <v>0</v>
      </c>
      <c r="BM13">
        <v>1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1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 s="2"/>
      <c r="DP13" s="2"/>
      <c r="DQ13" t="s">
        <v>185</v>
      </c>
      <c r="DR13" s="12" t="s">
        <v>517</v>
      </c>
      <c r="DS13" s="11">
        <v>11</v>
      </c>
      <c r="DT13" t="s">
        <v>127</v>
      </c>
      <c r="DU13">
        <v>1</v>
      </c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</row>
    <row r="14" spans="1:216" s="20" customFormat="1" ht="45" x14ac:dyDescent="0.25">
      <c r="A14" t="s">
        <v>66</v>
      </c>
      <c r="B14" s="12" t="s">
        <v>422</v>
      </c>
      <c r="C14" s="11">
        <v>1</v>
      </c>
      <c r="D14" t="s">
        <v>590</v>
      </c>
      <c r="E14" s="9">
        <v>1</v>
      </c>
      <c r="F14" s="9">
        <v>1</v>
      </c>
      <c r="G14" s="9">
        <v>0</v>
      </c>
      <c r="H14" s="9">
        <v>0</v>
      </c>
      <c r="I14" s="9">
        <v>1</v>
      </c>
      <c r="J14" s="9">
        <v>1</v>
      </c>
      <c r="K14" s="9">
        <v>0</v>
      </c>
      <c r="L14" s="9">
        <v>0</v>
      </c>
      <c r="M14" s="9">
        <v>1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6">
        <f>SUM(E14:R14)</f>
        <v>5</v>
      </c>
      <c r="T14"/>
      <c r="U14"/>
      <c r="V14"/>
      <c r="W14"/>
      <c r="X14" t="s">
        <v>138</v>
      </c>
      <c r="Y14" s="12" t="s">
        <v>418</v>
      </c>
      <c r="Z14" s="11">
        <v>9</v>
      </c>
      <c r="AA14" t="s">
        <v>127</v>
      </c>
      <c r="AB14">
        <v>1</v>
      </c>
      <c r="AC14">
        <v>1</v>
      </c>
      <c r="AD14">
        <v>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/>
      <c r="DP14"/>
      <c r="DQ14" t="s">
        <v>123</v>
      </c>
      <c r="DR14" s="10" t="s">
        <v>1000</v>
      </c>
      <c r="DS14" s="11">
        <v>12</v>
      </c>
      <c r="DT14" t="s">
        <v>564</v>
      </c>
      <c r="DU14"/>
      <c r="DV14"/>
      <c r="DW14"/>
      <c r="DX14"/>
      <c r="DY14"/>
      <c r="DZ14"/>
      <c r="EA14"/>
      <c r="EB14">
        <v>1</v>
      </c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</row>
    <row r="15" spans="1:216" s="20" customFormat="1" ht="60" x14ac:dyDescent="0.25">
      <c r="A15" t="s">
        <v>64</v>
      </c>
      <c r="B15" s="12" t="s">
        <v>400</v>
      </c>
      <c r="C15" s="11">
        <v>2</v>
      </c>
      <c r="D15" t="s">
        <v>583</v>
      </c>
      <c r="E15" s="9">
        <v>1</v>
      </c>
      <c r="F15" s="9">
        <v>1</v>
      </c>
      <c r="G15" s="9">
        <v>0</v>
      </c>
      <c r="H15" s="9">
        <v>0</v>
      </c>
      <c r="I15" s="9">
        <v>0</v>
      </c>
      <c r="J15" s="9">
        <v>1</v>
      </c>
      <c r="K15" s="9">
        <v>1</v>
      </c>
      <c r="L15" s="9">
        <v>0</v>
      </c>
      <c r="M15" s="9">
        <v>1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6">
        <f>SUM(E15:R15)</f>
        <v>5</v>
      </c>
      <c r="T15"/>
      <c r="U15"/>
      <c r="V15"/>
      <c r="W15"/>
      <c r="X15" t="s">
        <v>76</v>
      </c>
      <c r="Y15" s="12" t="s">
        <v>78</v>
      </c>
      <c r="Z15" s="11">
        <v>10</v>
      </c>
      <c r="AA15" t="s">
        <v>567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/>
      <c r="DP15"/>
      <c r="DQ15" t="s">
        <v>175</v>
      </c>
      <c r="DR15" s="12" t="s">
        <v>519</v>
      </c>
      <c r="DS15" s="11">
        <v>13</v>
      </c>
      <c r="DT15" t="s">
        <v>127</v>
      </c>
      <c r="DU15">
        <v>1</v>
      </c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</row>
    <row r="16" spans="1:216" s="120" customFormat="1" ht="45" x14ac:dyDescent="0.25">
      <c r="A16" s="20" t="s">
        <v>213</v>
      </c>
      <c r="B16" s="123" t="s">
        <v>135</v>
      </c>
      <c r="C16" s="134">
        <v>6</v>
      </c>
      <c r="D16" s="20" t="s">
        <v>571</v>
      </c>
      <c r="E16" s="124">
        <v>1</v>
      </c>
      <c r="F16" s="124">
        <v>1</v>
      </c>
      <c r="G16" s="124">
        <v>0</v>
      </c>
      <c r="H16" s="124">
        <v>0</v>
      </c>
      <c r="I16" s="124">
        <v>0</v>
      </c>
      <c r="J16" s="124">
        <v>1</v>
      </c>
      <c r="K16" s="124">
        <v>0</v>
      </c>
      <c r="L16" s="124">
        <v>0</v>
      </c>
      <c r="M16" s="124">
        <v>1</v>
      </c>
      <c r="N16" s="124">
        <v>0</v>
      </c>
      <c r="O16" s="124">
        <v>1</v>
      </c>
      <c r="P16" s="124">
        <v>0</v>
      </c>
      <c r="Q16" s="124">
        <v>0</v>
      </c>
      <c r="R16" s="124">
        <v>0</v>
      </c>
      <c r="S16" s="125">
        <f>SUM(E16:R16)</f>
        <v>5</v>
      </c>
      <c r="T16" s="20"/>
      <c r="U16" s="20"/>
      <c r="V16" s="20"/>
      <c r="W16"/>
      <c r="X16" t="s">
        <v>185</v>
      </c>
      <c r="Y16" s="12" t="s">
        <v>517</v>
      </c>
      <c r="Z16" s="11">
        <v>11</v>
      </c>
      <c r="AA16" t="s">
        <v>127</v>
      </c>
      <c r="AB16">
        <v>1</v>
      </c>
      <c r="AC16">
        <v>1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/>
      <c r="DP16"/>
      <c r="DQ16" s="20" t="s">
        <v>1001</v>
      </c>
      <c r="DR16" s="123" t="s">
        <v>24</v>
      </c>
      <c r="DS16" s="134"/>
      <c r="DT16" s="118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</row>
    <row r="17" spans="1:216" s="120" customFormat="1" ht="60" x14ac:dyDescent="0.25">
      <c r="A17" t="s">
        <v>145</v>
      </c>
      <c r="B17" s="12" t="s">
        <v>147</v>
      </c>
      <c r="C17" s="11">
        <v>26</v>
      </c>
      <c r="D17" t="s">
        <v>586</v>
      </c>
      <c r="E17" s="9">
        <v>1</v>
      </c>
      <c r="F17" s="9">
        <v>1</v>
      </c>
      <c r="G17" s="9">
        <v>1</v>
      </c>
      <c r="H17" s="9">
        <v>0</v>
      </c>
      <c r="I17" s="9">
        <v>1</v>
      </c>
      <c r="J17" s="9">
        <v>0</v>
      </c>
      <c r="K17" s="9">
        <v>1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6">
        <f>SUM(E17:R17)</f>
        <v>5</v>
      </c>
      <c r="T17"/>
      <c r="U17"/>
      <c r="V17"/>
      <c r="W17"/>
      <c r="X17" t="s">
        <v>123</v>
      </c>
      <c r="Y17" s="10" t="s">
        <v>518</v>
      </c>
      <c r="Z17" s="11">
        <v>12</v>
      </c>
      <c r="AA17" t="s">
        <v>564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/>
      <c r="DP17"/>
      <c r="DQ17" s="121" t="s">
        <v>1002</v>
      </c>
      <c r="DR17" s="137" t="s">
        <v>89</v>
      </c>
      <c r="DS17" s="138"/>
      <c r="DT17" s="121"/>
      <c r="DU17">
        <v>3</v>
      </c>
      <c r="DV17">
        <v>4</v>
      </c>
      <c r="DW17">
        <v>0</v>
      </c>
      <c r="DX17">
        <v>0</v>
      </c>
      <c r="DY17">
        <v>0</v>
      </c>
      <c r="DZ17">
        <v>0</v>
      </c>
      <c r="EA17">
        <v>1</v>
      </c>
      <c r="EB17">
        <v>0</v>
      </c>
      <c r="EC17">
        <v>0</v>
      </c>
      <c r="ED17">
        <v>1</v>
      </c>
      <c r="EE17">
        <v>0</v>
      </c>
      <c r="EF17">
        <v>0</v>
      </c>
      <c r="EG17">
        <v>0</v>
      </c>
      <c r="EH17">
        <v>2</v>
      </c>
      <c r="EI17">
        <v>0</v>
      </c>
      <c r="EJ17">
        <v>0</v>
      </c>
      <c r="EK17">
        <v>0</v>
      </c>
      <c r="EL17">
        <v>0</v>
      </c>
      <c r="EM17">
        <v>1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1</v>
      </c>
      <c r="EV17">
        <v>1</v>
      </c>
      <c r="EW17">
        <v>0</v>
      </c>
      <c r="EX17">
        <v>1</v>
      </c>
      <c r="EY17">
        <v>0</v>
      </c>
      <c r="EZ17">
        <v>0</v>
      </c>
      <c r="FA17">
        <v>1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/>
    </row>
    <row r="18" spans="1:216" ht="45" x14ac:dyDescent="0.25">
      <c r="A18" s="20" t="s">
        <v>233</v>
      </c>
      <c r="B18" s="123" t="s">
        <v>450</v>
      </c>
      <c r="C18" s="134">
        <v>32</v>
      </c>
      <c r="D18" s="20" t="s">
        <v>235</v>
      </c>
      <c r="E18" s="124">
        <v>1</v>
      </c>
      <c r="F18" s="124">
        <v>1</v>
      </c>
      <c r="G18" s="124">
        <v>1</v>
      </c>
      <c r="H18" s="124">
        <v>0</v>
      </c>
      <c r="I18" s="124">
        <v>0</v>
      </c>
      <c r="J18" s="124">
        <v>0</v>
      </c>
      <c r="K18" s="124">
        <v>1</v>
      </c>
      <c r="L18" s="124">
        <v>0</v>
      </c>
      <c r="M18" s="124">
        <v>0</v>
      </c>
      <c r="N18" s="124">
        <v>1</v>
      </c>
      <c r="O18" s="124">
        <v>0</v>
      </c>
      <c r="P18" s="124">
        <v>0</v>
      </c>
      <c r="Q18" s="124">
        <v>0</v>
      </c>
      <c r="R18" s="124">
        <v>0</v>
      </c>
      <c r="S18" s="125">
        <f>SUM(E18:R18)</f>
        <v>5</v>
      </c>
      <c r="T18" s="20"/>
      <c r="U18" s="20"/>
      <c r="V18" s="20"/>
      <c r="X18" t="s">
        <v>175</v>
      </c>
      <c r="Y18" s="12" t="s">
        <v>519</v>
      </c>
      <c r="Z18" s="11">
        <v>13</v>
      </c>
      <c r="AA18" t="s">
        <v>127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Q18" t="s">
        <v>187</v>
      </c>
      <c r="DR18" s="12" t="s">
        <v>520</v>
      </c>
      <c r="DS18" s="11">
        <v>16</v>
      </c>
      <c r="DT18" t="s">
        <v>568</v>
      </c>
      <c r="DU18">
        <v>1</v>
      </c>
      <c r="DW18">
        <v>1</v>
      </c>
      <c r="DY18">
        <v>1</v>
      </c>
      <c r="DZ18">
        <v>1</v>
      </c>
      <c r="EC18">
        <v>1</v>
      </c>
      <c r="EI18">
        <v>1</v>
      </c>
      <c r="EK18">
        <v>1</v>
      </c>
      <c r="EL18">
        <v>1</v>
      </c>
      <c r="EO18">
        <v>1</v>
      </c>
      <c r="FF18">
        <v>1</v>
      </c>
      <c r="FG18">
        <v>1</v>
      </c>
      <c r="FJ18">
        <v>1</v>
      </c>
      <c r="FX18">
        <v>1</v>
      </c>
      <c r="GA18">
        <v>1</v>
      </c>
      <c r="GH18">
        <v>1</v>
      </c>
    </row>
    <row r="19" spans="1:216" s="119" customFormat="1" ht="45" x14ac:dyDescent="0.25">
      <c r="A19" s="20" t="s">
        <v>233</v>
      </c>
      <c r="B19" s="123" t="s">
        <v>450</v>
      </c>
      <c r="C19" s="134">
        <v>32</v>
      </c>
      <c r="D19" s="20" t="s">
        <v>235</v>
      </c>
      <c r="E19" s="124">
        <v>1</v>
      </c>
      <c r="F19" s="124">
        <v>1</v>
      </c>
      <c r="G19" s="124">
        <v>1</v>
      </c>
      <c r="H19" s="124">
        <v>0</v>
      </c>
      <c r="I19" s="124">
        <v>0</v>
      </c>
      <c r="J19" s="124">
        <v>0</v>
      </c>
      <c r="K19" s="124">
        <v>1</v>
      </c>
      <c r="L19" s="124">
        <v>0</v>
      </c>
      <c r="M19" s="124">
        <v>0</v>
      </c>
      <c r="N19" s="124">
        <v>1</v>
      </c>
      <c r="O19" s="124">
        <v>0</v>
      </c>
      <c r="P19" s="124">
        <v>0</v>
      </c>
      <c r="Q19" s="124">
        <v>0</v>
      </c>
      <c r="R19" s="124">
        <v>0</v>
      </c>
      <c r="S19" s="125">
        <f>SUM(E19:R19)</f>
        <v>5</v>
      </c>
      <c r="T19" s="20"/>
      <c r="U19" s="20"/>
      <c r="V19" s="20"/>
      <c r="W19"/>
      <c r="X19" s="20" t="s">
        <v>22</v>
      </c>
      <c r="Y19" s="123" t="s">
        <v>24</v>
      </c>
      <c r="Z19" s="134">
        <v>14</v>
      </c>
      <c r="AA19" s="20" t="s">
        <v>575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/>
      <c r="DP19"/>
      <c r="DQ19" t="s">
        <v>311</v>
      </c>
      <c r="DR19" s="10" t="s">
        <v>507</v>
      </c>
      <c r="DS19" s="11">
        <v>17</v>
      </c>
      <c r="DT19" t="s">
        <v>592</v>
      </c>
      <c r="DU19">
        <v>1</v>
      </c>
      <c r="DV19"/>
      <c r="DW19"/>
      <c r="DX19"/>
      <c r="DY19"/>
      <c r="DZ19">
        <v>1</v>
      </c>
      <c r="EA19"/>
      <c r="EB19"/>
      <c r="EC19"/>
      <c r="ED19"/>
      <c r="EE19"/>
      <c r="EF19"/>
      <c r="EG19"/>
      <c r="EH19"/>
      <c r="EI19"/>
      <c r="EJ19"/>
      <c r="EK19"/>
      <c r="EL19">
        <v>1</v>
      </c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</row>
    <row r="20" spans="1:216" s="120" customFormat="1" ht="45" x14ac:dyDescent="0.25">
      <c r="A20" s="20" t="s">
        <v>233</v>
      </c>
      <c r="B20" s="123" t="s">
        <v>449</v>
      </c>
      <c r="C20" s="134">
        <v>33</v>
      </c>
      <c r="D20" s="20" t="s">
        <v>235</v>
      </c>
      <c r="E20" s="124">
        <v>1</v>
      </c>
      <c r="F20" s="124">
        <v>1</v>
      </c>
      <c r="G20" s="124">
        <v>1</v>
      </c>
      <c r="H20" s="124">
        <v>0</v>
      </c>
      <c r="I20" s="124">
        <v>0</v>
      </c>
      <c r="J20" s="124">
        <v>0</v>
      </c>
      <c r="K20" s="124">
        <v>1</v>
      </c>
      <c r="L20" s="124">
        <v>0</v>
      </c>
      <c r="M20" s="124">
        <v>0</v>
      </c>
      <c r="N20" s="124">
        <v>1</v>
      </c>
      <c r="O20" s="124">
        <v>0</v>
      </c>
      <c r="P20" s="124">
        <v>0</v>
      </c>
      <c r="Q20" s="124">
        <v>0</v>
      </c>
      <c r="R20" s="124">
        <v>0</v>
      </c>
      <c r="S20" s="125">
        <f>SUM(E20:R20)</f>
        <v>5</v>
      </c>
      <c r="T20" s="20"/>
      <c r="U20" s="20"/>
      <c r="V20" s="20"/>
      <c r="W20"/>
      <c r="X20" s="20" t="s">
        <v>91</v>
      </c>
      <c r="Y20" s="123" t="s">
        <v>24</v>
      </c>
      <c r="Z20" s="134">
        <v>14</v>
      </c>
      <c r="AA20" s="118"/>
      <c r="AB20">
        <v>0</v>
      </c>
      <c r="AC20">
        <v>1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/>
      <c r="DP20"/>
      <c r="DQ20" t="s">
        <v>311</v>
      </c>
      <c r="DR20" s="10" t="s">
        <v>508</v>
      </c>
      <c r="DS20" s="11">
        <v>18</v>
      </c>
      <c r="DT20" t="s">
        <v>592</v>
      </c>
      <c r="DU20">
        <v>1</v>
      </c>
      <c r="DV20"/>
      <c r="DW20"/>
      <c r="DX20"/>
      <c r="DY20"/>
      <c r="DZ20">
        <v>1</v>
      </c>
      <c r="EA20"/>
      <c r="EB20"/>
      <c r="EC20"/>
      <c r="ED20"/>
      <c r="EE20"/>
      <c r="EF20"/>
      <c r="EG20"/>
      <c r="EH20"/>
      <c r="EI20"/>
      <c r="EJ20"/>
      <c r="EK20"/>
      <c r="EL20">
        <v>1</v>
      </c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</row>
    <row r="21" spans="1:216" s="121" customFormat="1" ht="60" x14ac:dyDescent="0.25">
      <c r="A21" s="20" t="s">
        <v>233</v>
      </c>
      <c r="B21" s="123" t="s">
        <v>449</v>
      </c>
      <c r="C21" s="134">
        <v>33</v>
      </c>
      <c r="D21" s="20" t="s">
        <v>235</v>
      </c>
      <c r="E21" s="124">
        <v>1</v>
      </c>
      <c r="F21" s="124">
        <v>1</v>
      </c>
      <c r="G21" s="124">
        <v>1</v>
      </c>
      <c r="H21" s="124">
        <v>0</v>
      </c>
      <c r="I21" s="124">
        <v>0</v>
      </c>
      <c r="J21" s="124">
        <v>0</v>
      </c>
      <c r="K21" s="124">
        <v>1</v>
      </c>
      <c r="L21" s="124">
        <v>0</v>
      </c>
      <c r="M21" s="124">
        <v>0</v>
      </c>
      <c r="N21" s="124">
        <v>1</v>
      </c>
      <c r="O21" s="124">
        <v>0</v>
      </c>
      <c r="P21" s="124">
        <v>0</v>
      </c>
      <c r="Q21" s="124">
        <v>0</v>
      </c>
      <c r="R21" s="124">
        <v>0</v>
      </c>
      <c r="S21" s="125">
        <f>SUM(E21:R21)</f>
        <v>5</v>
      </c>
      <c r="T21" s="20"/>
      <c r="U21" s="20"/>
      <c r="V21" s="20"/>
      <c r="W21"/>
      <c r="X21" s="121" t="s">
        <v>88</v>
      </c>
      <c r="Y21" s="137" t="s">
        <v>89</v>
      </c>
      <c r="Z21" s="138">
        <v>15</v>
      </c>
      <c r="AA21" s="121" t="s">
        <v>557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/>
      <c r="DP21"/>
      <c r="DQ21" s="20" t="s">
        <v>1003</v>
      </c>
      <c r="DR21" s="123" t="s">
        <v>430</v>
      </c>
      <c r="DS21" s="134"/>
      <c r="DT21" s="20"/>
      <c r="DU21">
        <v>1</v>
      </c>
      <c r="DV21">
        <v>1</v>
      </c>
      <c r="DW21">
        <v>0</v>
      </c>
      <c r="DX21">
        <v>0</v>
      </c>
      <c r="DY21">
        <v>0</v>
      </c>
      <c r="DZ21">
        <v>2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1</v>
      </c>
      <c r="EI21">
        <v>0</v>
      </c>
      <c r="EJ21">
        <v>0</v>
      </c>
      <c r="EK21">
        <v>0</v>
      </c>
      <c r="EL21">
        <v>1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1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/>
    </row>
    <row r="22" spans="1:216" s="20" customFormat="1" ht="60" x14ac:dyDescent="0.25">
      <c r="A22" t="s">
        <v>256</v>
      </c>
      <c r="B22" s="10" t="s">
        <v>524</v>
      </c>
      <c r="C22" s="11">
        <v>34</v>
      </c>
      <c r="D22" t="s">
        <v>235</v>
      </c>
      <c r="E22" s="9">
        <v>1</v>
      </c>
      <c r="F22" s="9">
        <v>1</v>
      </c>
      <c r="G22" s="9">
        <v>1</v>
      </c>
      <c r="H22" s="9">
        <v>0</v>
      </c>
      <c r="I22" s="9">
        <v>0</v>
      </c>
      <c r="J22" s="9">
        <v>0</v>
      </c>
      <c r="K22" s="9">
        <v>1</v>
      </c>
      <c r="L22" s="9">
        <v>0</v>
      </c>
      <c r="M22" s="9">
        <v>0</v>
      </c>
      <c r="N22" s="9">
        <v>1</v>
      </c>
      <c r="O22" s="9">
        <v>0</v>
      </c>
      <c r="P22" s="9">
        <v>0</v>
      </c>
      <c r="Q22" s="9">
        <v>0</v>
      </c>
      <c r="R22" s="9">
        <v>0</v>
      </c>
      <c r="S22" s="6">
        <f>SUM(E22:R22)</f>
        <v>5</v>
      </c>
      <c r="T22"/>
      <c r="U22"/>
      <c r="V22"/>
      <c r="W22"/>
      <c r="X22" s="121" t="s">
        <v>99</v>
      </c>
      <c r="Y22" s="137" t="s">
        <v>89</v>
      </c>
      <c r="Z22" s="138">
        <v>15</v>
      </c>
      <c r="AA22" s="121" t="s">
        <v>718</v>
      </c>
      <c r="AB22">
        <v>1</v>
      </c>
      <c r="AC22">
        <v>0</v>
      </c>
      <c r="AD22">
        <v>0</v>
      </c>
      <c r="AE22">
        <v>1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/>
      <c r="DP22"/>
      <c r="DQ22" t="s">
        <v>311</v>
      </c>
      <c r="DR22" s="10" t="s">
        <v>510</v>
      </c>
      <c r="DS22" s="11">
        <v>20</v>
      </c>
      <c r="DT22" t="s">
        <v>592</v>
      </c>
      <c r="DU22">
        <v>1</v>
      </c>
      <c r="DV22"/>
      <c r="DW22"/>
      <c r="DX22"/>
      <c r="DY22"/>
      <c r="DZ22">
        <v>1</v>
      </c>
      <c r="EA22"/>
      <c r="EB22"/>
      <c r="EC22"/>
      <c r="ED22"/>
      <c r="EE22"/>
      <c r="EF22"/>
      <c r="EG22"/>
      <c r="EH22"/>
      <c r="EI22"/>
      <c r="EJ22"/>
      <c r="EK22"/>
      <c r="EL22">
        <v>1</v>
      </c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</row>
    <row r="23" spans="1:216" s="20" customFormat="1" ht="60" x14ac:dyDescent="0.25">
      <c r="A23" s="121" t="s">
        <v>246</v>
      </c>
      <c r="B23" s="137" t="s">
        <v>36</v>
      </c>
      <c r="C23" s="138">
        <v>38</v>
      </c>
      <c r="D23" s="121" t="s">
        <v>247</v>
      </c>
      <c r="E23" s="139">
        <v>1</v>
      </c>
      <c r="F23" s="139">
        <v>1</v>
      </c>
      <c r="G23" s="139">
        <v>1</v>
      </c>
      <c r="H23" s="139">
        <v>1</v>
      </c>
      <c r="I23" s="139">
        <v>1</v>
      </c>
      <c r="J23" s="139">
        <v>0</v>
      </c>
      <c r="K23" s="139">
        <v>0</v>
      </c>
      <c r="L23" s="139">
        <v>0</v>
      </c>
      <c r="M23" s="139">
        <v>0</v>
      </c>
      <c r="N23" s="139">
        <v>0</v>
      </c>
      <c r="O23" s="139">
        <v>0</v>
      </c>
      <c r="P23" s="139">
        <v>0</v>
      </c>
      <c r="Q23" s="139">
        <v>0</v>
      </c>
      <c r="R23" s="139">
        <v>0</v>
      </c>
      <c r="S23" s="140">
        <f>SUM(E23:R23)</f>
        <v>5</v>
      </c>
      <c r="T23" s="121"/>
      <c r="U23" s="121"/>
      <c r="V23" s="121"/>
      <c r="W23"/>
      <c r="X23" s="121" t="s">
        <v>99</v>
      </c>
      <c r="Y23" s="137" t="s">
        <v>89</v>
      </c>
      <c r="Z23" s="138">
        <v>15</v>
      </c>
      <c r="AA23" s="141" t="s">
        <v>680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 s="2"/>
      <c r="DP23" s="2"/>
      <c r="DQ23" t="s">
        <v>311</v>
      </c>
      <c r="DR23" s="10" t="s">
        <v>511</v>
      </c>
      <c r="DS23" s="11">
        <v>21</v>
      </c>
      <c r="DT23" t="s">
        <v>592</v>
      </c>
      <c r="DU23">
        <v>1</v>
      </c>
      <c r="DV23"/>
      <c r="DW23"/>
      <c r="DX23"/>
      <c r="DY23"/>
      <c r="DZ23">
        <v>1</v>
      </c>
      <c r="EA23"/>
      <c r="EB23"/>
      <c r="EC23"/>
      <c r="ED23"/>
      <c r="EE23"/>
      <c r="EF23"/>
      <c r="EG23"/>
      <c r="EH23"/>
      <c r="EI23"/>
      <c r="EJ23"/>
      <c r="EK23"/>
      <c r="EL23">
        <v>1</v>
      </c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</row>
    <row r="24" spans="1:216" ht="60" x14ac:dyDescent="0.25">
      <c r="A24" s="121" t="s">
        <v>224</v>
      </c>
      <c r="B24" s="137" t="s">
        <v>36</v>
      </c>
      <c r="C24" s="138">
        <v>38</v>
      </c>
      <c r="D24" s="121" t="s">
        <v>599</v>
      </c>
      <c r="E24" s="139">
        <v>1</v>
      </c>
      <c r="F24" s="139">
        <v>1</v>
      </c>
      <c r="G24" s="139">
        <v>1</v>
      </c>
      <c r="H24" s="139">
        <v>1</v>
      </c>
      <c r="I24" s="139">
        <v>0</v>
      </c>
      <c r="J24" s="139">
        <v>0</v>
      </c>
      <c r="K24" s="139">
        <v>0</v>
      </c>
      <c r="L24" s="139">
        <v>1</v>
      </c>
      <c r="M24" s="139">
        <v>0</v>
      </c>
      <c r="N24" s="139">
        <v>0</v>
      </c>
      <c r="O24" s="139">
        <v>0</v>
      </c>
      <c r="P24" s="139">
        <v>0</v>
      </c>
      <c r="Q24" s="139">
        <v>0</v>
      </c>
      <c r="R24" s="139">
        <v>0</v>
      </c>
      <c r="S24" s="140">
        <f>SUM(E24:R24)</f>
        <v>5</v>
      </c>
      <c r="T24" s="121"/>
      <c r="U24" s="121"/>
      <c r="V24" s="121"/>
      <c r="X24" s="121" t="s">
        <v>122</v>
      </c>
      <c r="Y24" s="137" t="s">
        <v>89</v>
      </c>
      <c r="Z24" s="138">
        <v>15</v>
      </c>
      <c r="AA24" s="121" t="s">
        <v>570</v>
      </c>
      <c r="AB24">
        <v>1</v>
      </c>
      <c r="AC24">
        <v>1</v>
      </c>
      <c r="AD24">
        <v>1</v>
      </c>
      <c r="AE24">
        <v>1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1</v>
      </c>
      <c r="AQ24">
        <v>1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1</v>
      </c>
      <c r="BC24">
        <v>0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Q24" t="s">
        <v>311</v>
      </c>
      <c r="DR24" s="10" t="s">
        <v>512</v>
      </c>
      <c r="DS24" s="11">
        <v>22</v>
      </c>
      <c r="DT24" t="s">
        <v>592</v>
      </c>
      <c r="DU24">
        <v>1</v>
      </c>
      <c r="DZ24">
        <v>1</v>
      </c>
      <c r="EL24">
        <v>1</v>
      </c>
    </row>
    <row r="25" spans="1:216" s="119" customFormat="1" ht="60" x14ac:dyDescent="0.25">
      <c r="A25" t="s">
        <v>136</v>
      </c>
      <c r="B25" s="10" t="s">
        <v>531</v>
      </c>
      <c r="C25" s="11">
        <v>47</v>
      </c>
      <c r="D25" t="s">
        <v>594</v>
      </c>
      <c r="E25" s="9">
        <v>1</v>
      </c>
      <c r="F25" s="9">
        <v>1</v>
      </c>
      <c r="G25" s="9">
        <v>1</v>
      </c>
      <c r="H25" s="9">
        <v>1</v>
      </c>
      <c r="I25" s="9">
        <v>0</v>
      </c>
      <c r="J25" s="9">
        <v>1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6">
        <f>SUM(E25:R25)</f>
        <v>5</v>
      </c>
      <c r="T25"/>
      <c r="U25"/>
      <c r="V25"/>
      <c r="W25"/>
      <c r="X25" s="121" t="s">
        <v>222</v>
      </c>
      <c r="Y25" s="137" t="s">
        <v>89</v>
      </c>
      <c r="Z25" s="138">
        <v>15</v>
      </c>
      <c r="AA25" s="121" t="s">
        <v>588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/>
      <c r="DP25"/>
      <c r="DQ25" t="s">
        <v>311</v>
      </c>
      <c r="DR25" s="10" t="s">
        <v>513</v>
      </c>
      <c r="DS25" s="11">
        <v>23</v>
      </c>
      <c r="DT25" t="s">
        <v>592</v>
      </c>
      <c r="DU25">
        <v>1</v>
      </c>
      <c r="DV25"/>
      <c r="DW25"/>
      <c r="DX25"/>
      <c r="DY25"/>
      <c r="DZ25">
        <v>1</v>
      </c>
      <c r="EA25"/>
      <c r="EB25"/>
      <c r="EC25"/>
      <c r="ED25"/>
      <c r="EE25"/>
      <c r="EF25"/>
      <c r="EG25"/>
      <c r="EH25"/>
      <c r="EI25"/>
      <c r="EJ25"/>
      <c r="EK25"/>
      <c r="EL25">
        <v>1</v>
      </c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</row>
    <row r="26" spans="1:216" s="20" customFormat="1" ht="60" x14ac:dyDescent="0.25">
      <c r="A26" t="s">
        <v>136</v>
      </c>
      <c r="B26" s="12" t="s">
        <v>536</v>
      </c>
      <c r="C26" s="11">
        <v>54</v>
      </c>
      <c r="D26" t="s">
        <v>594</v>
      </c>
      <c r="E26" s="9">
        <v>1</v>
      </c>
      <c r="F26" s="9">
        <v>1</v>
      </c>
      <c r="G26" s="9">
        <v>1</v>
      </c>
      <c r="H26" s="9">
        <v>1</v>
      </c>
      <c r="I26" s="9">
        <v>0</v>
      </c>
      <c r="J26" s="9">
        <v>1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6">
        <f>SUM(E26:R26)</f>
        <v>5</v>
      </c>
      <c r="T26"/>
      <c r="U26"/>
      <c r="V26"/>
      <c r="W26"/>
      <c r="X26" s="121" t="s">
        <v>101</v>
      </c>
      <c r="Y26" s="137" t="s">
        <v>89</v>
      </c>
      <c r="Z26" s="138">
        <v>15</v>
      </c>
      <c r="AA26" s="121" t="s">
        <v>589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/>
      <c r="DP26"/>
      <c r="DQ26" t="s">
        <v>173</v>
      </c>
      <c r="DR26" s="12" t="s">
        <v>427</v>
      </c>
      <c r="DS26" s="11">
        <v>24</v>
      </c>
      <c r="DT26" t="s">
        <v>591</v>
      </c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>
        <v>1</v>
      </c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</row>
    <row r="27" spans="1:216" s="119" customFormat="1" ht="60" x14ac:dyDescent="0.25">
      <c r="A27" s="119" t="s">
        <v>259</v>
      </c>
      <c r="B27" s="129" t="s">
        <v>687</v>
      </c>
      <c r="C27" s="135">
        <v>61</v>
      </c>
      <c r="D27" s="119" t="s">
        <v>736</v>
      </c>
      <c r="E27" s="130">
        <v>1</v>
      </c>
      <c r="F27" s="130">
        <v>1</v>
      </c>
      <c r="G27" s="130">
        <v>0</v>
      </c>
      <c r="H27" s="130">
        <v>0</v>
      </c>
      <c r="I27" s="130">
        <v>0</v>
      </c>
      <c r="J27" s="130">
        <v>1</v>
      </c>
      <c r="K27" s="130">
        <v>0</v>
      </c>
      <c r="L27" s="130">
        <v>0</v>
      </c>
      <c r="M27" s="130">
        <v>1</v>
      </c>
      <c r="N27" s="130">
        <v>0</v>
      </c>
      <c r="O27" s="130">
        <v>1</v>
      </c>
      <c r="P27" s="130">
        <v>0</v>
      </c>
      <c r="Q27" s="130">
        <v>0</v>
      </c>
      <c r="R27" s="130">
        <v>0</v>
      </c>
      <c r="S27" s="131">
        <f>SUM(E27:R27)</f>
        <v>5</v>
      </c>
      <c r="T27" s="133" t="s">
        <v>722</v>
      </c>
      <c r="W27"/>
      <c r="X27" t="s">
        <v>187</v>
      </c>
      <c r="Y27" s="12" t="s">
        <v>520</v>
      </c>
      <c r="Z27" s="11">
        <v>16</v>
      </c>
      <c r="AA27" t="s">
        <v>568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/>
      <c r="DP27"/>
      <c r="DQ27" t="s">
        <v>39</v>
      </c>
      <c r="DR27" s="12" t="s">
        <v>521</v>
      </c>
      <c r="DS27" s="11">
        <v>25</v>
      </c>
      <c r="DT27" t="s">
        <v>42</v>
      </c>
      <c r="DU27">
        <v>1</v>
      </c>
      <c r="DV27"/>
      <c r="DW27"/>
      <c r="DX27">
        <v>1</v>
      </c>
      <c r="DY27"/>
      <c r="DZ27">
        <v>1</v>
      </c>
      <c r="EA27"/>
      <c r="EB27"/>
      <c r="EC27"/>
      <c r="ED27"/>
      <c r="EE27"/>
      <c r="EF27"/>
      <c r="EG27"/>
      <c r="EH27"/>
      <c r="EI27"/>
      <c r="EJ27">
        <v>1</v>
      </c>
      <c r="EK27"/>
      <c r="EL27">
        <v>1</v>
      </c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>
        <v>1</v>
      </c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</row>
    <row r="28" spans="1:216" s="20" customFormat="1" ht="45" x14ac:dyDescent="0.25">
      <c r="A28" t="s">
        <v>108</v>
      </c>
      <c r="B28" s="12" t="s">
        <v>514</v>
      </c>
      <c r="C28" s="11">
        <v>3</v>
      </c>
      <c r="D28" t="s">
        <v>560</v>
      </c>
      <c r="E28" s="9">
        <v>1</v>
      </c>
      <c r="F28" s="9">
        <v>1</v>
      </c>
      <c r="G28" s="9">
        <v>1</v>
      </c>
      <c r="H28" s="9">
        <v>0</v>
      </c>
      <c r="I28" s="9">
        <v>0</v>
      </c>
      <c r="J28" s="9">
        <v>0</v>
      </c>
      <c r="K28" s="9">
        <v>1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6">
        <f>SUM(E28:R28)</f>
        <v>4</v>
      </c>
      <c r="T28" t="s">
        <v>712</v>
      </c>
      <c r="U28"/>
      <c r="V28"/>
      <c r="W28"/>
      <c r="X28" t="s">
        <v>311</v>
      </c>
      <c r="Y28" s="10" t="s">
        <v>507</v>
      </c>
      <c r="Z28" s="11">
        <v>17</v>
      </c>
      <c r="AA28" t="s">
        <v>592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1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/>
      <c r="DP28"/>
      <c r="DQ28" t="s">
        <v>145</v>
      </c>
      <c r="DR28" s="12" t="s">
        <v>147</v>
      </c>
      <c r="DS28" s="11">
        <v>26</v>
      </c>
      <c r="DT28" t="s">
        <v>586</v>
      </c>
      <c r="DU28">
        <v>1</v>
      </c>
      <c r="DV28">
        <v>1</v>
      </c>
      <c r="DW28"/>
      <c r="DX28">
        <v>1</v>
      </c>
      <c r="DY28"/>
      <c r="DZ28">
        <v>1</v>
      </c>
      <c r="EA28"/>
      <c r="EB28"/>
      <c r="EC28"/>
      <c r="ED28"/>
      <c r="EE28"/>
      <c r="EF28"/>
      <c r="EG28"/>
      <c r="EH28">
        <v>1</v>
      </c>
      <c r="EI28"/>
      <c r="EJ28">
        <v>1</v>
      </c>
      <c r="EK28"/>
      <c r="EL28">
        <v>1</v>
      </c>
      <c r="EM28"/>
      <c r="EN28"/>
      <c r="EO28"/>
      <c r="EP28"/>
      <c r="EQ28"/>
      <c r="ER28"/>
      <c r="ES28"/>
      <c r="ET28"/>
      <c r="EU28">
        <v>1</v>
      </c>
      <c r="EV28"/>
      <c r="EW28">
        <v>1</v>
      </c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>
        <v>1</v>
      </c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</row>
    <row r="29" spans="1:216" ht="45" x14ac:dyDescent="0.25">
      <c r="A29" s="119" t="s">
        <v>199</v>
      </c>
      <c r="B29" s="132" t="s">
        <v>97</v>
      </c>
      <c r="C29" s="135">
        <v>5</v>
      </c>
      <c r="D29" s="119" t="s">
        <v>566</v>
      </c>
      <c r="E29" s="130">
        <v>1</v>
      </c>
      <c r="F29" s="130">
        <v>1</v>
      </c>
      <c r="G29" s="130">
        <v>0</v>
      </c>
      <c r="H29" s="130">
        <v>0</v>
      </c>
      <c r="I29" s="130">
        <v>0</v>
      </c>
      <c r="J29" s="130">
        <v>0</v>
      </c>
      <c r="K29" s="130">
        <v>0</v>
      </c>
      <c r="L29" s="130">
        <v>1</v>
      </c>
      <c r="M29" s="130">
        <v>1</v>
      </c>
      <c r="N29" s="130">
        <v>0</v>
      </c>
      <c r="O29" s="130">
        <v>0</v>
      </c>
      <c r="P29" s="130">
        <v>0</v>
      </c>
      <c r="Q29" s="130">
        <v>0</v>
      </c>
      <c r="R29" s="130">
        <v>0</v>
      </c>
      <c r="S29" s="131">
        <f>SUM(E29:R29)</f>
        <v>4</v>
      </c>
      <c r="T29" s="119"/>
      <c r="U29" s="119"/>
      <c r="V29" s="119"/>
      <c r="X29" t="s">
        <v>311</v>
      </c>
      <c r="Y29" s="10" t="s">
        <v>508</v>
      </c>
      <c r="Z29" s="11">
        <v>18</v>
      </c>
      <c r="AA29" t="s">
        <v>592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1</v>
      </c>
      <c r="AQ29">
        <v>1</v>
      </c>
      <c r="AR29">
        <v>1</v>
      </c>
      <c r="AS29">
        <v>0</v>
      </c>
      <c r="AT29">
        <v>0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1</v>
      </c>
      <c r="BC29">
        <v>1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1</v>
      </c>
      <c r="BN29">
        <v>0</v>
      </c>
      <c r="BO29">
        <v>0</v>
      </c>
      <c r="BP29">
        <v>1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0</v>
      </c>
      <c r="BX29">
        <v>0</v>
      </c>
      <c r="BY29">
        <v>1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1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Q29" t="s">
        <v>130</v>
      </c>
      <c r="DR29" s="12" t="s">
        <v>441</v>
      </c>
      <c r="DS29" s="11">
        <v>27</v>
      </c>
      <c r="DT29" t="s">
        <v>597</v>
      </c>
      <c r="DU29">
        <v>1</v>
      </c>
      <c r="DY29">
        <v>1</v>
      </c>
      <c r="DZ29">
        <v>1</v>
      </c>
      <c r="EK29">
        <v>1</v>
      </c>
      <c r="EL29">
        <v>1</v>
      </c>
      <c r="FX29">
        <v>1</v>
      </c>
    </row>
    <row r="30" spans="1:216" s="121" customFormat="1" ht="45" x14ac:dyDescent="0.25">
      <c r="A30" s="20" t="s">
        <v>133</v>
      </c>
      <c r="B30" s="123" t="s">
        <v>135</v>
      </c>
      <c r="C30" s="134">
        <v>6</v>
      </c>
      <c r="D30" s="20" t="s">
        <v>566</v>
      </c>
      <c r="E30" s="124">
        <v>1</v>
      </c>
      <c r="F30" s="124">
        <v>1</v>
      </c>
      <c r="G30" s="124">
        <v>0</v>
      </c>
      <c r="H30" s="124">
        <v>0</v>
      </c>
      <c r="I30" s="124">
        <v>0</v>
      </c>
      <c r="J30" s="124">
        <v>0</v>
      </c>
      <c r="K30" s="124">
        <v>0</v>
      </c>
      <c r="L30" s="124">
        <v>1</v>
      </c>
      <c r="M30" s="124">
        <v>1</v>
      </c>
      <c r="N30" s="124">
        <v>0</v>
      </c>
      <c r="O30" s="124">
        <v>0</v>
      </c>
      <c r="P30" s="124">
        <v>0</v>
      </c>
      <c r="Q30" s="124">
        <v>0</v>
      </c>
      <c r="R30" s="124">
        <v>0</v>
      </c>
      <c r="S30" s="125">
        <f>SUM(E30:R30)</f>
        <v>4</v>
      </c>
      <c r="T30" s="20"/>
      <c r="U30" s="20"/>
      <c r="V30" s="20"/>
      <c r="W30"/>
      <c r="X30" s="20" t="s">
        <v>168</v>
      </c>
      <c r="Y30" s="123" t="s">
        <v>430</v>
      </c>
      <c r="Z30" s="134">
        <v>19</v>
      </c>
      <c r="AA30" s="20" t="s">
        <v>154</v>
      </c>
      <c r="AB30">
        <v>1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/>
      <c r="DP30"/>
      <c r="DQ30" t="s">
        <v>32</v>
      </c>
      <c r="DR30" s="12" t="s">
        <v>522</v>
      </c>
      <c r="DS30" s="11">
        <v>28</v>
      </c>
      <c r="DT30" t="s">
        <v>563</v>
      </c>
      <c r="DU30">
        <v>1</v>
      </c>
      <c r="DV30">
        <v>1</v>
      </c>
      <c r="DW30">
        <v>1</v>
      </c>
      <c r="DX30">
        <v>1</v>
      </c>
      <c r="DY30"/>
      <c r="DZ30">
        <v>1</v>
      </c>
      <c r="EA30"/>
      <c r="EB30"/>
      <c r="EC30"/>
      <c r="ED30"/>
      <c r="EE30"/>
      <c r="EF30"/>
      <c r="EG30"/>
      <c r="EH30">
        <v>1</v>
      </c>
      <c r="EI30">
        <v>1</v>
      </c>
      <c r="EJ30">
        <v>1</v>
      </c>
      <c r="EK30"/>
      <c r="EL30">
        <v>1</v>
      </c>
      <c r="EM30"/>
      <c r="EN30"/>
      <c r="EO30"/>
      <c r="EP30"/>
      <c r="EQ30"/>
      <c r="ER30"/>
      <c r="ES30"/>
      <c r="ET30">
        <v>1</v>
      </c>
      <c r="EU30">
        <v>1</v>
      </c>
      <c r="EV30"/>
      <c r="EW30">
        <v>1</v>
      </c>
      <c r="EX30"/>
      <c r="EY30"/>
      <c r="EZ30"/>
      <c r="FA30"/>
      <c r="FB30"/>
      <c r="FC30"/>
      <c r="FD30"/>
      <c r="FE30">
        <v>1</v>
      </c>
      <c r="FF30"/>
      <c r="FG30">
        <v>1</v>
      </c>
      <c r="FH30"/>
      <c r="FI30"/>
      <c r="FJ30"/>
      <c r="FK30"/>
      <c r="FL30"/>
      <c r="FM30"/>
      <c r="FN30"/>
      <c r="FO30"/>
      <c r="FP30">
        <v>1</v>
      </c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</row>
    <row r="31" spans="1:216" s="121" customFormat="1" ht="45" x14ac:dyDescent="0.25">
      <c r="A31" s="121" t="s">
        <v>122</v>
      </c>
      <c r="B31" s="137" t="s">
        <v>89</v>
      </c>
      <c r="C31" s="138">
        <v>15</v>
      </c>
      <c r="D31" s="121" t="s">
        <v>570</v>
      </c>
      <c r="E31" s="139">
        <v>1</v>
      </c>
      <c r="F31" s="139">
        <v>0</v>
      </c>
      <c r="G31" s="139">
        <v>1</v>
      </c>
      <c r="H31" s="139">
        <v>0</v>
      </c>
      <c r="I31" s="139">
        <v>1</v>
      </c>
      <c r="J31" s="139">
        <v>1</v>
      </c>
      <c r="K31" s="139">
        <v>0</v>
      </c>
      <c r="L31" s="139">
        <v>0</v>
      </c>
      <c r="M31" s="139">
        <v>0</v>
      </c>
      <c r="N31" s="139">
        <v>0</v>
      </c>
      <c r="O31" s="139">
        <v>0</v>
      </c>
      <c r="P31" s="139">
        <v>0</v>
      </c>
      <c r="Q31" s="139">
        <v>0</v>
      </c>
      <c r="R31" s="139">
        <v>0</v>
      </c>
      <c r="S31" s="140">
        <f>SUM(E31:R31)</f>
        <v>4</v>
      </c>
      <c r="W31"/>
      <c r="X31" s="20" t="s">
        <v>310</v>
      </c>
      <c r="Y31" s="123" t="s">
        <v>430</v>
      </c>
      <c r="Z31" s="134">
        <v>19</v>
      </c>
      <c r="AA31" s="20" t="s">
        <v>560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/>
      <c r="DP31"/>
      <c r="DQ31" t="s">
        <v>311</v>
      </c>
      <c r="DR31" s="10" t="s">
        <v>509</v>
      </c>
      <c r="DS31" s="11">
        <v>29</v>
      </c>
      <c r="DT31" t="s">
        <v>593</v>
      </c>
      <c r="DU31">
        <v>1</v>
      </c>
      <c r="DV31"/>
      <c r="DW31"/>
      <c r="DX31"/>
      <c r="DY31"/>
      <c r="DZ31">
        <v>1</v>
      </c>
      <c r="EA31">
        <v>1</v>
      </c>
      <c r="EB31"/>
      <c r="EC31"/>
      <c r="ED31"/>
      <c r="EE31"/>
      <c r="EF31"/>
      <c r="EG31"/>
      <c r="EH31"/>
      <c r="EI31"/>
      <c r="EJ31"/>
      <c r="EK31"/>
      <c r="EL31">
        <v>1</v>
      </c>
      <c r="EM31">
        <v>1</v>
      </c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>
        <v>1</v>
      </c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</row>
    <row r="32" spans="1:216" s="121" customFormat="1" ht="60" x14ac:dyDescent="0.25">
      <c r="A32" s="121" t="s">
        <v>101</v>
      </c>
      <c r="B32" s="137" t="s">
        <v>89</v>
      </c>
      <c r="C32" s="138">
        <v>15</v>
      </c>
      <c r="D32" s="121" t="s">
        <v>589</v>
      </c>
      <c r="E32" s="139">
        <v>1</v>
      </c>
      <c r="F32" s="139">
        <v>1</v>
      </c>
      <c r="G32" s="139">
        <v>1</v>
      </c>
      <c r="H32" s="139">
        <v>0</v>
      </c>
      <c r="I32" s="139">
        <v>0</v>
      </c>
      <c r="J32" s="139">
        <v>0</v>
      </c>
      <c r="K32" s="139">
        <v>0</v>
      </c>
      <c r="L32" s="139">
        <v>1</v>
      </c>
      <c r="M32" s="139">
        <v>0</v>
      </c>
      <c r="N32" s="139">
        <v>0</v>
      </c>
      <c r="O32" s="139">
        <v>0</v>
      </c>
      <c r="P32" s="139">
        <v>0</v>
      </c>
      <c r="Q32" s="139">
        <v>0</v>
      </c>
      <c r="R32" s="139">
        <v>0</v>
      </c>
      <c r="S32" s="140">
        <f>SUM(E32:R32)</f>
        <v>4</v>
      </c>
      <c r="W32"/>
      <c r="X32" t="s">
        <v>311</v>
      </c>
      <c r="Y32" s="10" t="s">
        <v>510</v>
      </c>
      <c r="Z32" s="11">
        <v>20</v>
      </c>
      <c r="AA32" t="s">
        <v>592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/>
      <c r="DP32"/>
      <c r="DQ32" s="120" t="s">
        <v>1004</v>
      </c>
      <c r="DR32" s="126" t="s">
        <v>74</v>
      </c>
      <c r="DS32" s="136"/>
      <c r="DT32" s="120"/>
      <c r="DU32">
        <v>1</v>
      </c>
      <c r="DV32">
        <v>3</v>
      </c>
      <c r="DW32">
        <v>1</v>
      </c>
      <c r="DX32">
        <v>3</v>
      </c>
      <c r="DY32">
        <v>0</v>
      </c>
      <c r="DZ32">
        <v>1</v>
      </c>
      <c r="EA32">
        <v>0</v>
      </c>
      <c r="EB32">
        <v>2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1</v>
      </c>
      <c r="EI32">
        <v>0</v>
      </c>
      <c r="EJ32">
        <v>1</v>
      </c>
      <c r="EK32">
        <v>0</v>
      </c>
      <c r="EL32">
        <v>1</v>
      </c>
      <c r="EM32">
        <v>0</v>
      </c>
      <c r="EN32">
        <v>1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1</v>
      </c>
      <c r="EU32">
        <v>3</v>
      </c>
      <c r="EV32">
        <v>0</v>
      </c>
      <c r="EW32">
        <v>1</v>
      </c>
      <c r="EX32">
        <v>0</v>
      </c>
      <c r="EY32">
        <v>2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1</v>
      </c>
      <c r="FF32">
        <v>0</v>
      </c>
      <c r="FG32">
        <v>0</v>
      </c>
      <c r="FH32">
        <v>0</v>
      </c>
      <c r="FI32">
        <v>1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1</v>
      </c>
      <c r="FQ32">
        <v>0</v>
      </c>
      <c r="FR32">
        <v>2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1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/>
    </row>
    <row r="33" spans="1:216" ht="60" x14ac:dyDescent="0.25">
      <c r="A33" s="20" t="s">
        <v>310</v>
      </c>
      <c r="B33" s="123" t="s">
        <v>430</v>
      </c>
      <c r="C33" s="134">
        <v>19</v>
      </c>
      <c r="D33" s="20" t="s">
        <v>560</v>
      </c>
      <c r="E33" s="124">
        <v>1</v>
      </c>
      <c r="F33" s="124">
        <v>1</v>
      </c>
      <c r="G33" s="124">
        <v>1</v>
      </c>
      <c r="H33" s="124">
        <v>0</v>
      </c>
      <c r="I33" s="124">
        <v>0</v>
      </c>
      <c r="J33" s="124">
        <v>0</v>
      </c>
      <c r="K33" s="124">
        <v>1</v>
      </c>
      <c r="L33" s="124">
        <v>0</v>
      </c>
      <c r="M33" s="124">
        <v>0</v>
      </c>
      <c r="N33" s="124">
        <v>0</v>
      </c>
      <c r="O33" s="124">
        <v>0</v>
      </c>
      <c r="P33" s="124">
        <v>0</v>
      </c>
      <c r="Q33" s="124">
        <v>0</v>
      </c>
      <c r="R33" s="124">
        <v>0</v>
      </c>
      <c r="S33" s="125">
        <f>SUM(E33:R33)</f>
        <v>4</v>
      </c>
      <c r="T33" s="20"/>
      <c r="U33" s="20"/>
      <c r="V33" s="20"/>
      <c r="X33" t="s">
        <v>311</v>
      </c>
      <c r="Y33" s="10" t="s">
        <v>511</v>
      </c>
      <c r="Z33" s="11">
        <v>21</v>
      </c>
      <c r="AA33" t="s">
        <v>592</v>
      </c>
      <c r="AB33">
        <v>1</v>
      </c>
      <c r="AC33">
        <v>0</v>
      </c>
      <c r="AD33">
        <v>1</v>
      </c>
      <c r="AE33">
        <v>0</v>
      </c>
      <c r="AF33">
        <v>1</v>
      </c>
      <c r="AG33">
        <v>1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1</v>
      </c>
      <c r="AS33">
        <v>1</v>
      </c>
      <c r="AT33">
        <v>0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1</v>
      </c>
      <c r="BN33">
        <v>1</v>
      </c>
      <c r="BO33">
        <v>0</v>
      </c>
      <c r="BP33">
        <v>0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1</v>
      </c>
      <c r="CF33">
        <v>0</v>
      </c>
      <c r="CG33">
        <v>0</v>
      </c>
      <c r="CH33">
        <v>1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1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Q33" t="s">
        <v>152</v>
      </c>
      <c r="DR33" s="10" t="s">
        <v>1005</v>
      </c>
      <c r="DS33" s="11">
        <v>31</v>
      </c>
      <c r="DT33" t="s">
        <v>154</v>
      </c>
      <c r="DZ33">
        <v>1</v>
      </c>
    </row>
    <row r="34" spans="1:216" ht="45" x14ac:dyDescent="0.25">
      <c r="A34" t="s">
        <v>39</v>
      </c>
      <c r="B34" s="12" t="s">
        <v>521</v>
      </c>
      <c r="C34" s="11">
        <v>25</v>
      </c>
      <c r="D34" t="s">
        <v>42</v>
      </c>
      <c r="E34" s="9">
        <v>1</v>
      </c>
      <c r="F34" s="9">
        <v>1</v>
      </c>
      <c r="G34" s="9">
        <v>0</v>
      </c>
      <c r="H34" s="9">
        <v>0</v>
      </c>
      <c r="I34" s="9">
        <v>1</v>
      </c>
      <c r="J34" s="9">
        <v>0</v>
      </c>
      <c r="K34" s="9">
        <v>1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6">
        <f>SUM(E34:R34)</f>
        <v>4</v>
      </c>
      <c r="X34" t="s">
        <v>311</v>
      </c>
      <c r="Y34" s="10" t="s">
        <v>512</v>
      </c>
      <c r="Z34" s="11">
        <v>22</v>
      </c>
      <c r="AA34" t="s">
        <v>592</v>
      </c>
      <c r="AB34">
        <v>1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Q34" s="20" t="s">
        <v>233</v>
      </c>
      <c r="DR34" s="123" t="s">
        <v>450</v>
      </c>
      <c r="DS34" s="134"/>
      <c r="DT34" s="20"/>
      <c r="DU34">
        <v>2</v>
      </c>
      <c r="DV34">
        <v>2</v>
      </c>
      <c r="DW34">
        <v>0</v>
      </c>
      <c r="DX34">
        <v>0</v>
      </c>
      <c r="DY34">
        <v>0</v>
      </c>
      <c r="DZ34">
        <v>2</v>
      </c>
      <c r="EA34">
        <v>0</v>
      </c>
      <c r="EB34">
        <v>0</v>
      </c>
      <c r="EC34">
        <v>2</v>
      </c>
      <c r="ED34">
        <v>0</v>
      </c>
      <c r="EE34">
        <v>0</v>
      </c>
      <c r="EF34">
        <v>0</v>
      </c>
      <c r="EG34">
        <v>0</v>
      </c>
      <c r="EH34">
        <v>2</v>
      </c>
      <c r="EI34">
        <v>0</v>
      </c>
      <c r="EJ34">
        <v>0</v>
      </c>
      <c r="EK34">
        <v>0</v>
      </c>
      <c r="EL34">
        <v>2</v>
      </c>
      <c r="EM34">
        <v>0</v>
      </c>
      <c r="EN34">
        <v>0</v>
      </c>
      <c r="EO34">
        <v>2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2</v>
      </c>
      <c r="EX34">
        <v>0</v>
      </c>
      <c r="EY34">
        <v>0</v>
      </c>
      <c r="EZ34">
        <v>2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2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</row>
    <row r="35" spans="1:216" s="20" customFormat="1" ht="30" x14ac:dyDescent="0.25">
      <c r="A35" t="s">
        <v>130</v>
      </c>
      <c r="B35" s="12" t="s">
        <v>441</v>
      </c>
      <c r="C35" s="11">
        <v>27</v>
      </c>
      <c r="D35" t="s">
        <v>597</v>
      </c>
      <c r="E35" s="9">
        <v>1</v>
      </c>
      <c r="F35" s="9">
        <v>1</v>
      </c>
      <c r="G35" s="9">
        <v>0</v>
      </c>
      <c r="H35" s="9">
        <v>0</v>
      </c>
      <c r="I35" s="9">
        <v>0</v>
      </c>
      <c r="J35" s="9">
        <v>1</v>
      </c>
      <c r="K35" s="9">
        <v>1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6">
        <f>SUM(E35:R35)</f>
        <v>4</v>
      </c>
      <c r="T35"/>
      <c r="U35"/>
      <c r="V35"/>
      <c r="W35"/>
      <c r="X35" t="s">
        <v>311</v>
      </c>
      <c r="Y35" s="10" t="s">
        <v>513</v>
      </c>
      <c r="Z35" s="11">
        <v>23</v>
      </c>
      <c r="AA35" t="s">
        <v>592</v>
      </c>
      <c r="AB35">
        <v>1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/>
      <c r="DP35"/>
      <c r="DQ35" s="20" t="s">
        <v>233</v>
      </c>
      <c r="DR35" s="123" t="s">
        <v>449</v>
      </c>
      <c r="DS35" s="134"/>
      <c r="DU35">
        <v>2</v>
      </c>
      <c r="DV35">
        <v>2</v>
      </c>
      <c r="DW35">
        <v>0</v>
      </c>
      <c r="DX35">
        <v>0</v>
      </c>
      <c r="DY35">
        <v>0</v>
      </c>
      <c r="DZ35">
        <v>2</v>
      </c>
      <c r="EA35">
        <v>0</v>
      </c>
      <c r="EB35">
        <v>0</v>
      </c>
      <c r="EC35">
        <v>2</v>
      </c>
      <c r="ED35">
        <v>0</v>
      </c>
      <c r="EE35">
        <v>0</v>
      </c>
      <c r="EF35">
        <v>0</v>
      </c>
      <c r="EG35">
        <v>0</v>
      </c>
      <c r="EH35">
        <v>2</v>
      </c>
      <c r="EI35">
        <v>0</v>
      </c>
      <c r="EJ35">
        <v>0</v>
      </c>
      <c r="EK35">
        <v>0</v>
      </c>
      <c r="EL35">
        <v>2</v>
      </c>
      <c r="EM35">
        <v>0</v>
      </c>
      <c r="EN35">
        <v>0</v>
      </c>
      <c r="EO35">
        <v>2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2</v>
      </c>
      <c r="EX35">
        <v>0</v>
      </c>
      <c r="EY35">
        <v>0</v>
      </c>
      <c r="EZ35">
        <v>2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2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/>
    </row>
    <row r="36" spans="1:216" s="121" customFormat="1" ht="75" x14ac:dyDescent="0.25">
      <c r="A36" s="120" t="s">
        <v>72</v>
      </c>
      <c r="B36" s="126" t="s">
        <v>74</v>
      </c>
      <c r="C36" s="136">
        <v>30</v>
      </c>
      <c r="D36" s="120" t="s">
        <v>600</v>
      </c>
      <c r="E36" s="127">
        <v>1</v>
      </c>
      <c r="F36" s="127">
        <v>0</v>
      </c>
      <c r="G36" s="127">
        <v>1</v>
      </c>
      <c r="H36" s="127">
        <v>0</v>
      </c>
      <c r="I36" s="127">
        <v>1</v>
      </c>
      <c r="J36" s="127">
        <v>0</v>
      </c>
      <c r="K36" s="127">
        <v>0</v>
      </c>
      <c r="L36" s="127">
        <v>0</v>
      </c>
      <c r="M36" s="127">
        <v>1</v>
      </c>
      <c r="N36" s="127">
        <v>0</v>
      </c>
      <c r="O36" s="127">
        <v>0</v>
      </c>
      <c r="P36" s="127">
        <v>0</v>
      </c>
      <c r="Q36" s="127">
        <v>0</v>
      </c>
      <c r="R36" s="127">
        <v>0</v>
      </c>
      <c r="S36" s="128">
        <f>SUM(E36:R36)</f>
        <v>4</v>
      </c>
      <c r="T36" s="120"/>
      <c r="U36" s="120"/>
      <c r="V36" s="120"/>
      <c r="W36"/>
      <c r="X36" t="s">
        <v>173</v>
      </c>
      <c r="Y36" s="12" t="s">
        <v>427</v>
      </c>
      <c r="Z36" s="11">
        <v>24</v>
      </c>
      <c r="AA36" t="s">
        <v>591</v>
      </c>
      <c r="AB36">
        <v>0</v>
      </c>
      <c r="AC36">
        <v>1</v>
      </c>
      <c r="AD36">
        <v>0</v>
      </c>
      <c r="AE36">
        <v>1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/>
      <c r="DP36"/>
      <c r="DQ36" t="s">
        <v>256</v>
      </c>
      <c r="DR36" s="10" t="s">
        <v>1006</v>
      </c>
      <c r="DS36" s="11">
        <v>34</v>
      </c>
      <c r="DT36" t="s">
        <v>235</v>
      </c>
      <c r="DU36">
        <v>1</v>
      </c>
      <c r="DV36">
        <v>1</v>
      </c>
      <c r="DW36"/>
      <c r="DX36"/>
      <c r="DY36"/>
      <c r="DZ36">
        <v>1</v>
      </c>
      <c r="EA36"/>
      <c r="EB36"/>
      <c r="EC36">
        <v>1</v>
      </c>
      <c r="ED36"/>
      <c r="EE36"/>
      <c r="EF36"/>
      <c r="EG36"/>
      <c r="EH36">
        <v>1</v>
      </c>
      <c r="EI36"/>
      <c r="EJ36"/>
      <c r="EK36"/>
      <c r="EL36">
        <v>1</v>
      </c>
      <c r="EM36"/>
      <c r="EN36"/>
      <c r="EO36">
        <v>1</v>
      </c>
      <c r="EP36"/>
      <c r="EQ36"/>
      <c r="ER36"/>
      <c r="ES36"/>
      <c r="ET36"/>
      <c r="EU36"/>
      <c r="EV36"/>
      <c r="EW36">
        <v>1</v>
      </c>
      <c r="EX36"/>
      <c r="EY36"/>
      <c r="EZ36">
        <v>1</v>
      </c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>
        <v>1</v>
      </c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</row>
    <row r="37" spans="1:216" s="20" customFormat="1" ht="75" x14ac:dyDescent="0.25">
      <c r="A37" s="119" t="s">
        <v>193</v>
      </c>
      <c r="B37" s="132" t="s">
        <v>119</v>
      </c>
      <c r="C37" s="135">
        <v>37</v>
      </c>
      <c r="D37" s="119" t="s">
        <v>555</v>
      </c>
      <c r="E37" s="130">
        <v>1</v>
      </c>
      <c r="F37" s="130">
        <v>1</v>
      </c>
      <c r="G37" s="130">
        <v>1</v>
      </c>
      <c r="H37" s="130">
        <v>1</v>
      </c>
      <c r="I37" s="130">
        <v>0</v>
      </c>
      <c r="J37" s="130">
        <v>0</v>
      </c>
      <c r="K37" s="130">
        <v>0</v>
      </c>
      <c r="L37" s="130">
        <v>0</v>
      </c>
      <c r="M37" s="130">
        <v>0</v>
      </c>
      <c r="N37" s="130">
        <v>0</v>
      </c>
      <c r="O37" s="130">
        <v>0</v>
      </c>
      <c r="P37" s="130">
        <v>0</v>
      </c>
      <c r="Q37" s="130">
        <v>0</v>
      </c>
      <c r="R37" s="130">
        <v>0</v>
      </c>
      <c r="S37" s="131">
        <f>SUM(E37:R37)</f>
        <v>4</v>
      </c>
      <c r="T37" s="119"/>
      <c r="U37" s="119"/>
      <c r="V37" s="119"/>
      <c r="W37"/>
      <c r="X37" t="s">
        <v>39</v>
      </c>
      <c r="Y37" s="12" t="s">
        <v>521</v>
      </c>
      <c r="Z37" s="11">
        <v>25</v>
      </c>
      <c r="AA37" t="s">
        <v>42</v>
      </c>
      <c r="AB37">
        <v>1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1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1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1</v>
      </c>
      <c r="CH37">
        <v>0</v>
      </c>
      <c r="CI37">
        <v>1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1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/>
      <c r="DP37"/>
      <c r="DQ37" t="s">
        <v>10</v>
      </c>
      <c r="DR37" s="10" t="s">
        <v>1007</v>
      </c>
      <c r="DS37" s="11">
        <v>35</v>
      </c>
      <c r="DT37" t="s">
        <v>13</v>
      </c>
      <c r="DU37"/>
      <c r="DV37">
        <v>1</v>
      </c>
      <c r="DW37"/>
      <c r="DX37"/>
      <c r="DY37"/>
      <c r="DZ37">
        <v>1</v>
      </c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>
        <v>1</v>
      </c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</row>
    <row r="38" spans="1:216" s="120" customFormat="1" ht="75" x14ac:dyDescent="0.25">
      <c r="A38" s="121" t="s">
        <v>197</v>
      </c>
      <c r="B38" s="137" t="s">
        <v>36</v>
      </c>
      <c r="C38" s="138">
        <v>38</v>
      </c>
      <c r="D38" s="121" t="s">
        <v>62</v>
      </c>
      <c r="E38" s="139">
        <v>1</v>
      </c>
      <c r="F38" s="139">
        <v>1</v>
      </c>
      <c r="G38" s="139">
        <v>1</v>
      </c>
      <c r="H38" s="139">
        <v>0</v>
      </c>
      <c r="I38" s="139">
        <v>1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0</v>
      </c>
      <c r="Q38" s="139">
        <v>0</v>
      </c>
      <c r="R38" s="139">
        <v>0</v>
      </c>
      <c r="S38" s="140">
        <f>SUM(E38:R38)</f>
        <v>4</v>
      </c>
      <c r="T38" s="121"/>
      <c r="U38" s="121"/>
      <c r="V38" s="121"/>
      <c r="W38"/>
      <c r="X38" t="s">
        <v>145</v>
      </c>
      <c r="Y38" s="12" t="s">
        <v>147</v>
      </c>
      <c r="Z38" s="11">
        <v>26</v>
      </c>
      <c r="AA38" t="s">
        <v>586</v>
      </c>
      <c r="AB38">
        <v>1</v>
      </c>
      <c r="AC38">
        <v>1</v>
      </c>
      <c r="AD38">
        <v>0</v>
      </c>
      <c r="AE38">
        <v>1</v>
      </c>
      <c r="AF38">
        <v>0</v>
      </c>
      <c r="AG38">
        <v>1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1</v>
      </c>
      <c r="AR38">
        <v>0</v>
      </c>
      <c r="AS38">
        <v>1</v>
      </c>
      <c r="AT38">
        <v>0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0</v>
      </c>
      <c r="BD38">
        <v>1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1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1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/>
      <c r="DP38"/>
      <c r="DQ38" t="s">
        <v>105</v>
      </c>
      <c r="DR38" s="10" t="s">
        <v>1008</v>
      </c>
      <c r="DS38" s="11">
        <v>36</v>
      </c>
      <c r="DT38" t="s">
        <v>559</v>
      </c>
      <c r="DU38">
        <v>1</v>
      </c>
      <c r="DV38">
        <v>1</v>
      </c>
      <c r="DW38">
        <v>1</v>
      </c>
      <c r="DX38"/>
      <c r="DY38">
        <v>1</v>
      </c>
      <c r="DZ38">
        <v>1</v>
      </c>
      <c r="EA38"/>
      <c r="EB38"/>
      <c r="EC38"/>
      <c r="ED38"/>
      <c r="EE38"/>
      <c r="EF38">
        <v>1</v>
      </c>
      <c r="EG38"/>
      <c r="EH38">
        <v>1</v>
      </c>
      <c r="EI38">
        <v>1</v>
      </c>
      <c r="EJ38"/>
      <c r="EK38">
        <v>1</v>
      </c>
      <c r="EL38">
        <v>1</v>
      </c>
      <c r="EM38"/>
      <c r="EN38"/>
      <c r="EO38"/>
      <c r="EP38"/>
      <c r="EQ38"/>
      <c r="ER38">
        <v>1</v>
      </c>
      <c r="ES38"/>
      <c r="ET38">
        <v>1</v>
      </c>
      <c r="EU38"/>
      <c r="EV38">
        <v>1</v>
      </c>
      <c r="EW38">
        <v>1</v>
      </c>
      <c r="EX38"/>
      <c r="EY38"/>
      <c r="EZ38"/>
      <c r="FA38"/>
      <c r="FB38"/>
      <c r="FC38">
        <v>1</v>
      </c>
      <c r="FD38"/>
      <c r="FE38"/>
      <c r="FF38">
        <v>1</v>
      </c>
      <c r="FG38">
        <v>1</v>
      </c>
      <c r="FH38"/>
      <c r="FI38"/>
      <c r="FJ38"/>
      <c r="FK38"/>
      <c r="FL38"/>
      <c r="FM38">
        <v>1</v>
      </c>
      <c r="FN38"/>
      <c r="FO38"/>
      <c r="FP38"/>
      <c r="FQ38"/>
      <c r="FR38"/>
      <c r="FS38"/>
      <c r="FT38"/>
      <c r="FU38"/>
      <c r="FV38"/>
      <c r="FW38"/>
      <c r="FX38">
        <v>1</v>
      </c>
      <c r="FY38"/>
      <c r="FZ38"/>
      <c r="GA38"/>
      <c r="GB38"/>
      <c r="GC38"/>
      <c r="GD38">
        <v>1</v>
      </c>
      <c r="GE38"/>
      <c r="GF38"/>
      <c r="GG38"/>
      <c r="GH38"/>
      <c r="GI38"/>
      <c r="GJ38"/>
      <c r="GK38">
        <v>1</v>
      </c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</row>
    <row r="39" spans="1:216" ht="60" x14ac:dyDescent="0.25">
      <c r="A39" s="121" t="s">
        <v>194</v>
      </c>
      <c r="B39" s="137" t="s">
        <v>36</v>
      </c>
      <c r="C39" s="138">
        <v>38</v>
      </c>
      <c r="D39" s="121" t="s">
        <v>601</v>
      </c>
      <c r="E39" s="139">
        <v>0</v>
      </c>
      <c r="F39" s="139">
        <v>1</v>
      </c>
      <c r="G39" s="139">
        <v>1</v>
      </c>
      <c r="H39" s="139">
        <v>1</v>
      </c>
      <c r="I39" s="139">
        <v>0</v>
      </c>
      <c r="J39" s="139">
        <v>0</v>
      </c>
      <c r="K39" s="139">
        <v>0</v>
      </c>
      <c r="L39" s="139">
        <v>1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</v>
      </c>
      <c r="S39" s="140">
        <f>SUM(E39:R39)</f>
        <v>4</v>
      </c>
      <c r="T39" s="121"/>
      <c r="U39" s="121"/>
      <c r="V39" s="121"/>
      <c r="X39" t="s">
        <v>130</v>
      </c>
      <c r="Y39" s="12" t="s">
        <v>441</v>
      </c>
      <c r="Z39" s="11">
        <v>27</v>
      </c>
      <c r="AA39" t="s">
        <v>597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Q39" s="119" t="s">
        <v>1009</v>
      </c>
      <c r="DR39" s="132" t="s">
        <v>119</v>
      </c>
      <c r="DS39" s="135"/>
      <c r="DT39" s="119"/>
      <c r="DU39">
        <v>2</v>
      </c>
      <c r="DV39">
        <v>2</v>
      </c>
      <c r="DW39">
        <v>1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3</v>
      </c>
      <c r="EI39">
        <v>1</v>
      </c>
      <c r="EJ39">
        <v>1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1</v>
      </c>
      <c r="EU39">
        <v>1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</row>
    <row r="40" spans="1:216" s="119" customFormat="1" ht="60" x14ac:dyDescent="0.25">
      <c r="A40" t="s">
        <v>68</v>
      </c>
      <c r="B40" s="12" t="s">
        <v>526</v>
      </c>
      <c r="C40" s="11">
        <v>39</v>
      </c>
      <c r="D40" t="s">
        <v>555</v>
      </c>
      <c r="E40" s="9">
        <v>1</v>
      </c>
      <c r="F40" s="9">
        <v>1</v>
      </c>
      <c r="G40" s="9">
        <v>1</v>
      </c>
      <c r="H40" s="9">
        <v>1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6">
        <f>SUM(E40:R40)</f>
        <v>4</v>
      </c>
      <c r="T40"/>
      <c r="U40" t="s">
        <v>713</v>
      </c>
      <c r="V40"/>
      <c r="W40"/>
      <c r="X40" t="s">
        <v>32</v>
      </c>
      <c r="Y40" s="12" t="s">
        <v>522</v>
      </c>
      <c r="Z40" s="11">
        <v>28</v>
      </c>
      <c r="AA40" t="s">
        <v>563</v>
      </c>
      <c r="AB40">
        <v>1</v>
      </c>
      <c r="AC40">
        <v>1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/>
      <c r="DP40"/>
      <c r="DQ40" s="121" t="s">
        <v>1010</v>
      </c>
      <c r="DR40" s="137" t="s">
        <v>36</v>
      </c>
      <c r="DS40" s="138"/>
      <c r="DT40" s="121"/>
      <c r="DU40">
        <v>9</v>
      </c>
      <c r="DV40">
        <v>10</v>
      </c>
      <c r="DW40">
        <v>5</v>
      </c>
      <c r="DX40">
        <v>7</v>
      </c>
      <c r="DY40">
        <v>3</v>
      </c>
      <c r="DZ40">
        <v>0</v>
      </c>
      <c r="EA40">
        <v>4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9</v>
      </c>
      <c r="EI40">
        <v>6</v>
      </c>
      <c r="EJ40">
        <v>6</v>
      </c>
      <c r="EK40">
        <v>3</v>
      </c>
      <c r="EL40">
        <v>0</v>
      </c>
      <c r="EM40">
        <v>5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5</v>
      </c>
      <c r="EU40">
        <v>8</v>
      </c>
      <c r="EV40">
        <v>3</v>
      </c>
      <c r="EW40">
        <v>0</v>
      </c>
      <c r="EX40">
        <v>5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4</v>
      </c>
      <c r="FF40">
        <v>3</v>
      </c>
      <c r="FG40">
        <v>0</v>
      </c>
      <c r="FH40">
        <v>4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3</v>
      </c>
      <c r="FP40">
        <v>0</v>
      </c>
      <c r="FQ40">
        <v>4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3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/>
    </row>
    <row r="41" spans="1:216" ht="60" x14ac:dyDescent="0.25">
      <c r="A41" s="20" t="s">
        <v>58</v>
      </c>
      <c r="B41" s="123" t="s">
        <v>61</v>
      </c>
      <c r="C41" s="134">
        <v>40</v>
      </c>
      <c r="D41" s="20" t="s">
        <v>62</v>
      </c>
      <c r="E41" s="124">
        <v>1</v>
      </c>
      <c r="F41" s="124">
        <v>1</v>
      </c>
      <c r="G41" s="124">
        <v>1</v>
      </c>
      <c r="H41" s="124">
        <v>0</v>
      </c>
      <c r="I41" s="124">
        <v>1</v>
      </c>
      <c r="J41" s="124">
        <v>0</v>
      </c>
      <c r="K41" s="124">
        <v>0</v>
      </c>
      <c r="L41" s="124">
        <v>0</v>
      </c>
      <c r="M41" s="124">
        <v>0</v>
      </c>
      <c r="N41" s="124">
        <v>0</v>
      </c>
      <c r="O41" s="124">
        <v>0</v>
      </c>
      <c r="P41" s="124">
        <v>0</v>
      </c>
      <c r="Q41" s="124">
        <v>0</v>
      </c>
      <c r="R41" s="124">
        <v>0</v>
      </c>
      <c r="S41" s="125">
        <f>SUM(E41:R41)</f>
        <v>4</v>
      </c>
      <c r="T41" s="20"/>
      <c r="U41" s="20"/>
      <c r="V41" s="20"/>
      <c r="X41" t="s">
        <v>311</v>
      </c>
      <c r="Y41" s="10" t="s">
        <v>509</v>
      </c>
      <c r="Z41" s="11">
        <v>29</v>
      </c>
      <c r="AA41" t="s">
        <v>593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Q41" t="s">
        <v>68</v>
      </c>
      <c r="DR41" s="12" t="s">
        <v>526</v>
      </c>
      <c r="DS41" s="11">
        <v>39</v>
      </c>
      <c r="DT41" t="s">
        <v>555</v>
      </c>
      <c r="DU41">
        <v>1</v>
      </c>
      <c r="DV41">
        <v>1</v>
      </c>
      <c r="DW41">
        <v>1</v>
      </c>
      <c r="EH41">
        <v>1</v>
      </c>
      <c r="EI41">
        <v>1</v>
      </c>
      <c r="ET41">
        <v>1</v>
      </c>
    </row>
    <row r="42" spans="1:216" ht="60" x14ac:dyDescent="0.25">
      <c r="A42" s="20" t="s">
        <v>163</v>
      </c>
      <c r="B42" s="123" t="s">
        <v>61</v>
      </c>
      <c r="C42" s="134">
        <v>40</v>
      </c>
      <c r="D42" s="20" t="s">
        <v>62</v>
      </c>
      <c r="E42" s="124">
        <v>1</v>
      </c>
      <c r="F42" s="124">
        <v>1</v>
      </c>
      <c r="G42" s="124">
        <v>1</v>
      </c>
      <c r="H42" s="124">
        <v>0</v>
      </c>
      <c r="I42" s="124">
        <v>1</v>
      </c>
      <c r="J42" s="124">
        <v>0</v>
      </c>
      <c r="K42" s="124">
        <v>0</v>
      </c>
      <c r="L42" s="124">
        <v>0</v>
      </c>
      <c r="M42" s="124">
        <v>0</v>
      </c>
      <c r="N42" s="124">
        <v>0</v>
      </c>
      <c r="O42" s="124">
        <v>0</v>
      </c>
      <c r="P42" s="124">
        <v>0</v>
      </c>
      <c r="Q42" s="124">
        <v>0</v>
      </c>
      <c r="R42" s="124">
        <v>0</v>
      </c>
      <c r="S42" s="125">
        <f>SUM(E42:R42)</f>
        <v>4</v>
      </c>
      <c r="T42" s="20"/>
      <c r="U42" s="20"/>
      <c r="V42" s="20"/>
      <c r="X42" s="120" t="s">
        <v>219</v>
      </c>
      <c r="Y42" s="126" t="s">
        <v>74</v>
      </c>
      <c r="Z42" s="136">
        <v>30</v>
      </c>
      <c r="AA42" s="120" t="s">
        <v>561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Q42" s="20" t="s">
        <v>1011</v>
      </c>
      <c r="DR42" s="123" t="s">
        <v>61</v>
      </c>
      <c r="DS42" s="134"/>
      <c r="DT42" s="20"/>
      <c r="DU42">
        <v>2</v>
      </c>
      <c r="DV42">
        <v>2</v>
      </c>
      <c r="DW42">
        <v>0</v>
      </c>
      <c r="DX42">
        <v>2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2</v>
      </c>
      <c r="EI42">
        <v>0</v>
      </c>
      <c r="EJ42">
        <v>2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2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</row>
    <row r="43" spans="1:216" ht="60" x14ac:dyDescent="0.25">
      <c r="A43" t="s">
        <v>190</v>
      </c>
      <c r="B43" s="12" t="s">
        <v>192</v>
      </c>
      <c r="C43" s="11">
        <v>41</v>
      </c>
      <c r="D43" t="s">
        <v>62</v>
      </c>
      <c r="E43" s="9">
        <v>1</v>
      </c>
      <c r="F43" s="9">
        <v>1</v>
      </c>
      <c r="G43" s="9">
        <v>1</v>
      </c>
      <c r="H43" s="9">
        <v>0</v>
      </c>
      <c r="I43" s="9">
        <v>1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6">
        <f>SUM(E43:R43)</f>
        <v>4</v>
      </c>
      <c r="X43" s="120" t="s">
        <v>141</v>
      </c>
      <c r="Y43" s="126" t="s">
        <v>74</v>
      </c>
      <c r="Z43" s="136">
        <v>30</v>
      </c>
      <c r="AA43" s="120" t="s">
        <v>562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Q43" t="s">
        <v>190</v>
      </c>
      <c r="DR43" s="12" t="s">
        <v>192</v>
      </c>
      <c r="DS43" s="11">
        <v>41</v>
      </c>
      <c r="DT43" t="s">
        <v>62</v>
      </c>
      <c r="DU43">
        <v>1</v>
      </c>
      <c r="DV43">
        <v>1</v>
      </c>
      <c r="DX43">
        <v>1</v>
      </c>
      <c r="EH43">
        <v>1</v>
      </c>
      <c r="EJ43">
        <v>1</v>
      </c>
      <c r="EU43">
        <v>1</v>
      </c>
    </row>
    <row r="44" spans="1:216" s="121" customFormat="1" ht="60" x14ac:dyDescent="0.25">
      <c r="A44" t="s">
        <v>136</v>
      </c>
      <c r="B44" s="12" t="s">
        <v>529</v>
      </c>
      <c r="C44" s="11">
        <v>45</v>
      </c>
      <c r="D44" t="s">
        <v>595</v>
      </c>
      <c r="E44" s="9">
        <v>1</v>
      </c>
      <c r="F44" s="9">
        <v>1</v>
      </c>
      <c r="G44" s="9">
        <v>1</v>
      </c>
      <c r="H44" s="9">
        <v>0</v>
      </c>
      <c r="I44" s="9">
        <v>0</v>
      </c>
      <c r="J44" s="9">
        <v>1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6">
        <f>SUM(E44:R44)</f>
        <v>4</v>
      </c>
      <c r="T44"/>
      <c r="U44"/>
      <c r="V44"/>
      <c r="W44"/>
      <c r="X44" s="120" t="s">
        <v>250</v>
      </c>
      <c r="Y44" s="126" t="s">
        <v>74</v>
      </c>
      <c r="Z44" s="136">
        <v>30</v>
      </c>
      <c r="AA44" s="120" t="s">
        <v>572</v>
      </c>
      <c r="AB44">
        <v>1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/>
      <c r="DP44"/>
      <c r="DQ44" t="s">
        <v>220</v>
      </c>
      <c r="DR44" s="10" t="s">
        <v>1012</v>
      </c>
      <c r="DS44" s="11">
        <v>42</v>
      </c>
      <c r="DT44" t="s">
        <v>576</v>
      </c>
      <c r="DU44">
        <v>1</v>
      </c>
      <c r="DV44">
        <v>1</v>
      </c>
      <c r="DW44">
        <v>1</v>
      </c>
      <c r="DX44"/>
      <c r="DY44">
        <v>1</v>
      </c>
      <c r="DZ44"/>
      <c r="EA44">
        <v>1</v>
      </c>
      <c r="EB44">
        <v>1</v>
      </c>
      <c r="EC44"/>
      <c r="ED44">
        <v>1</v>
      </c>
      <c r="EE44"/>
      <c r="EF44"/>
      <c r="EG44"/>
      <c r="EH44">
        <v>1</v>
      </c>
      <c r="EI44">
        <v>1</v>
      </c>
      <c r="EJ44"/>
      <c r="EK44">
        <v>1</v>
      </c>
      <c r="EL44"/>
      <c r="EM44"/>
      <c r="EN44">
        <v>1</v>
      </c>
      <c r="EO44"/>
      <c r="EP44">
        <v>1</v>
      </c>
      <c r="EQ44"/>
      <c r="ER44"/>
      <c r="ES44"/>
      <c r="ET44">
        <v>1</v>
      </c>
      <c r="EU44"/>
      <c r="EV44">
        <v>1</v>
      </c>
      <c r="EW44"/>
      <c r="EX44"/>
      <c r="EY44">
        <v>1</v>
      </c>
      <c r="EZ44"/>
      <c r="FA44">
        <v>1</v>
      </c>
      <c r="FB44"/>
      <c r="FC44"/>
      <c r="FD44"/>
      <c r="FE44"/>
      <c r="FF44">
        <v>1</v>
      </c>
      <c r="FG44"/>
      <c r="FH44"/>
      <c r="FI44">
        <v>1</v>
      </c>
      <c r="FJ44"/>
      <c r="FK44">
        <v>1</v>
      </c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>
        <v>1</v>
      </c>
      <c r="GA44"/>
      <c r="GB44">
        <v>1</v>
      </c>
      <c r="GC44"/>
      <c r="GD44"/>
      <c r="GE44"/>
      <c r="GF44"/>
      <c r="GG44"/>
      <c r="GH44"/>
      <c r="GI44"/>
      <c r="GJ44"/>
      <c r="GK44"/>
      <c r="GL44"/>
      <c r="GM44">
        <v>1</v>
      </c>
      <c r="GN44"/>
      <c r="GO44">
        <v>1</v>
      </c>
      <c r="GP44"/>
      <c r="GQ44"/>
      <c r="GR44"/>
      <c r="GS44"/>
      <c r="GT44">
        <v>1</v>
      </c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</row>
    <row r="45" spans="1:216" s="20" customFormat="1" ht="75" x14ac:dyDescent="0.25">
      <c r="A45" t="s">
        <v>136</v>
      </c>
      <c r="B45" s="12" t="s">
        <v>530</v>
      </c>
      <c r="C45" s="11">
        <v>46</v>
      </c>
      <c r="D45" t="s">
        <v>595</v>
      </c>
      <c r="E45" s="9">
        <v>1</v>
      </c>
      <c r="F45" s="9">
        <v>1</v>
      </c>
      <c r="G45" s="9">
        <v>1</v>
      </c>
      <c r="H45" s="9">
        <v>0</v>
      </c>
      <c r="I45" s="9">
        <v>0</v>
      </c>
      <c r="J45" s="9">
        <v>1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6">
        <f>SUM(E45:R45)</f>
        <v>4</v>
      </c>
      <c r="T45"/>
      <c r="U45"/>
      <c r="V45"/>
      <c r="W45"/>
      <c r="X45" s="120" t="s">
        <v>72</v>
      </c>
      <c r="Y45" s="126" t="s">
        <v>74</v>
      </c>
      <c r="Z45" s="136">
        <v>30</v>
      </c>
      <c r="AA45" s="120" t="s">
        <v>600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/>
      <c r="DP45"/>
      <c r="DQ45" t="s">
        <v>220</v>
      </c>
      <c r="DR45" s="10" t="s">
        <v>1013</v>
      </c>
      <c r="DS45" s="11">
        <v>43</v>
      </c>
      <c r="DT45" t="s">
        <v>577</v>
      </c>
      <c r="DU45">
        <v>1</v>
      </c>
      <c r="DV45">
        <v>1</v>
      </c>
      <c r="DW45">
        <v>1</v>
      </c>
      <c r="DX45"/>
      <c r="DY45">
        <v>1</v>
      </c>
      <c r="DZ45"/>
      <c r="EA45"/>
      <c r="EB45">
        <v>1</v>
      </c>
      <c r="EC45"/>
      <c r="ED45">
        <v>1</v>
      </c>
      <c r="EE45"/>
      <c r="EF45"/>
      <c r="EG45"/>
      <c r="EH45">
        <v>1</v>
      </c>
      <c r="EI45">
        <v>1</v>
      </c>
      <c r="EJ45"/>
      <c r="EK45">
        <v>1</v>
      </c>
      <c r="EL45"/>
      <c r="EM45">
        <v>1</v>
      </c>
      <c r="EN45">
        <v>1</v>
      </c>
      <c r="EO45"/>
      <c r="EP45">
        <v>1</v>
      </c>
      <c r="EQ45"/>
      <c r="ER45"/>
      <c r="ES45"/>
      <c r="ET45">
        <v>1</v>
      </c>
      <c r="EU45"/>
      <c r="EV45">
        <v>1</v>
      </c>
      <c r="EW45"/>
      <c r="EX45">
        <v>1</v>
      </c>
      <c r="EY45">
        <v>1</v>
      </c>
      <c r="EZ45"/>
      <c r="FA45">
        <v>1</v>
      </c>
      <c r="FB45"/>
      <c r="FC45"/>
      <c r="FD45"/>
      <c r="FE45"/>
      <c r="FF45">
        <v>1</v>
      </c>
      <c r="FG45"/>
      <c r="FH45">
        <v>1</v>
      </c>
      <c r="FI45">
        <v>1</v>
      </c>
      <c r="FJ45"/>
      <c r="FK45">
        <v>1</v>
      </c>
      <c r="FL45"/>
      <c r="FM45"/>
      <c r="FN45"/>
      <c r="FO45"/>
      <c r="FP45"/>
      <c r="FQ45"/>
      <c r="FR45"/>
      <c r="FS45"/>
      <c r="FT45"/>
      <c r="FU45"/>
      <c r="FV45"/>
      <c r="FW45"/>
      <c r="FX45"/>
      <c r="FY45">
        <v>1</v>
      </c>
      <c r="FZ45">
        <v>1</v>
      </c>
      <c r="GA45"/>
      <c r="GB45">
        <v>1</v>
      </c>
      <c r="GC45"/>
      <c r="GD45"/>
      <c r="GE45"/>
      <c r="GF45"/>
      <c r="GG45"/>
      <c r="GH45"/>
      <c r="GI45"/>
      <c r="GJ45"/>
      <c r="GK45"/>
      <c r="GL45"/>
      <c r="GM45">
        <v>1</v>
      </c>
      <c r="GN45"/>
      <c r="GO45">
        <v>1</v>
      </c>
      <c r="GP45"/>
      <c r="GQ45"/>
      <c r="GR45"/>
      <c r="GS45"/>
      <c r="GT45">
        <v>1</v>
      </c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</row>
    <row r="46" spans="1:216" s="121" customFormat="1" ht="60" x14ac:dyDescent="0.25">
      <c r="A46" t="s">
        <v>163</v>
      </c>
      <c r="B46" s="10" t="s">
        <v>532</v>
      </c>
      <c r="C46" s="11">
        <v>48</v>
      </c>
      <c r="D46" t="s">
        <v>165</v>
      </c>
      <c r="E46" s="9">
        <v>1</v>
      </c>
      <c r="F46" s="9">
        <v>1</v>
      </c>
      <c r="G46" s="9">
        <v>0</v>
      </c>
      <c r="H46" s="9">
        <v>1</v>
      </c>
      <c r="I46" s="9">
        <v>0</v>
      </c>
      <c r="J46" s="9">
        <v>1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6">
        <f>SUM(E46:R46)</f>
        <v>4</v>
      </c>
      <c r="T46"/>
      <c r="U46"/>
      <c r="V46"/>
      <c r="W46"/>
      <c r="X46" t="s">
        <v>152</v>
      </c>
      <c r="Y46" s="10" t="s">
        <v>523</v>
      </c>
      <c r="Z46" s="11">
        <v>31</v>
      </c>
      <c r="AA46" t="s">
        <v>154</v>
      </c>
      <c r="AB46">
        <v>0</v>
      </c>
      <c r="AC46">
        <v>1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/>
      <c r="DP46"/>
      <c r="DQ46" t="s">
        <v>210</v>
      </c>
      <c r="DR46" s="12" t="s">
        <v>527</v>
      </c>
      <c r="DS46" s="11">
        <v>44</v>
      </c>
      <c r="DT46" t="s">
        <v>127</v>
      </c>
      <c r="DU46">
        <v>1</v>
      </c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</row>
    <row r="47" spans="1:216" ht="75" x14ac:dyDescent="0.25">
      <c r="A47" t="s">
        <v>163</v>
      </c>
      <c r="B47" s="10" t="s">
        <v>533</v>
      </c>
      <c r="C47" s="11">
        <v>49</v>
      </c>
      <c r="D47" t="s">
        <v>165</v>
      </c>
      <c r="E47" s="9">
        <v>1</v>
      </c>
      <c r="F47" s="9">
        <v>1</v>
      </c>
      <c r="G47" s="9">
        <v>0</v>
      </c>
      <c r="H47" s="9">
        <v>1</v>
      </c>
      <c r="I47" s="9">
        <v>0</v>
      </c>
      <c r="J47" s="9">
        <v>1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6">
        <f>SUM(E47:R47)</f>
        <v>4</v>
      </c>
      <c r="X47" s="20" t="s">
        <v>233</v>
      </c>
      <c r="Y47" s="123" t="s">
        <v>450</v>
      </c>
      <c r="Z47" s="134">
        <v>32</v>
      </c>
      <c r="AA47" s="20" t="s">
        <v>235</v>
      </c>
      <c r="AB47">
        <v>1</v>
      </c>
      <c r="AC47">
        <v>1</v>
      </c>
      <c r="AD47">
        <v>1</v>
      </c>
      <c r="AE47">
        <v>0</v>
      </c>
      <c r="AF47">
        <v>1</v>
      </c>
      <c r="AG47">
        <v>0</v>
      </c>
      <c r="AH47">
        <v>0</v>
      </c>
      <c r="AI47">
        <v>1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1</v>
      </c>
      <c r="AP47">
        <v>1</v>
      </c>
      <c r="AQ47">
        <v>0</v>
      </c>
      <c r="AR47">
        <v>1</v>
      </c>
      <c r="AS47">
        <v>0</v>
      </c>
      <c r="AT47">
        <v>0</v>
      </c>
      <c r="AU47">
        <v>1</v>
      </c>
      <c r="AV47">
        <v>0</v>
      </c>
      <c r="AW47">
        <v>1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1</v>
      </c>
      <c r="BD47">
        <v>0</v>
      </c>
      <c r="BE47">
        <v>0</v>
      </c>
      <c r="BF47">
        <v>1</v>
      </c>
      <c r="BG47">
        <v>0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1</v>
      </c>
      <c r="BN47">
        <v>0</v>
      </c>
      <c r="BO47">
        <v>0</v>
      </c>
      <c r="BP47">
        <v>1</v>
      </c>
      <c r="BQ47">
        <v>0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1</v>
      </c>
      <c r="CH47">
        <v>0</v>
      </c>
      <c r="CI47">
        <v>1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1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Q47" t="s">
        <v>136</v>
      </c>
      <c r="DR47" s="12" t="s">
        <v>1014</v>
      </c>
      <c r="DS47" s="11">
        <v>45</v>
      </c>
      <c r="DT47" t="s">
        <v>595</v>
      </c>
      <c r="DU47">
        <v>1</v>
      </c>
      <c r="DV47">
        <v>1</v>
      </c>
      <c r="DY47">
        <v>1</v>
      </c>
      <c r="EH47">
        <v>1</v>
      </c>
      <c r="EK47">
        <v>1</v>
      </c>
      <c r="EV47">
        <v>1</v>
      </c>
    </row>
    <row r="48" spans="1:216" ht="60" x14ac:dyDescent="0.25">
      <c r="A48" t="s">
        <v>163</v>
      </c>
      <c r="B48" s="10" t="s">
        <v>534</v>
      </c>
      <c r="C48" s="11">
        <v>50</v>
      </c>
      <c r="D48" t="s">
        <v>165</v>
      </c>
      <c r="E48" s="9">
        <v>1</v>
      </c>
      <c r="F48" s="9">
        <v>1</v>
      </c>
      <c r="G48" s="9">
        <v>0</v>
      </c>
      <c r="H48" s="9">
        <v>1</v>
      </c>
      <c r="I48" s="9">
        <v>0</v>
      </c>
      <c r="J48" s="9">
        <v>1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6">
        <f>SUM(E48:R48)</f>
        <v>4</v>
      </c>
      <c r="X48" s="20" t="s">
        <v>233</v>
      </c>
      <c r="Y48" s="123" t="s">
        <v>450</v>
      </c>
      <c r="Z48" s="134">
        <v>32</v>
      </c>
      <c r="AA48" s="20" t="s">
        <v>235</v>
      </c>
      <c r="AB48">
        <v>1</v>
      </c>
      <c r="AC48">
        <v>1</v>
      </c>
      <c r="AD48">
        <v>1</v>
      </c>
      <c r="AE48">
        <v>0</v>
      </c>
      <c r="AF48">
        <v>1</v>
      </c>
      <c r="AG48">
        <v>0</v>
      </c>
      <c r="AH48">
        <v>1</v>
      </c>
      <c r="AI48">
        <v>1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1</v>
      </c>
      <c r="AP48">
        <v>1</v>
      </c>
      <c r="AQ48">
        <v>0</v>
      </c>
      <c r="AR48">
        <v>1</v>
      </c>
      <c r="AS48">
        <v>0</v>
      </c>
      <c r="AT48">
        <v>1</v>
      </c>
      <c r="AU48">
        <v>1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1</v>
      </c>
      <c r="BD48">
        <v>0</v>
      </c>
      <c r="BE48">
        <v>1</v>
      </c>
      <c r="BF48">
        <v>1</v>
      </c>
      <c r="BG48">
        <v>0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0</v>
      </c>
      <c r="BO48">
        <v>1</v>
      </c>
      <c r="BP48">
        <v>1</v>
      </c>
      <c r="BQ48">
        <v>0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1</v>
      </c>
      <c r="CG48">
        <v>1</v>
      </c>
      <c r="CH48">
        <v>0</v>
      </c>
      <c r="CI48">
        <v>1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1</v>
      </c>
      <c r="CU48">
        <v>0</v>
      </c>
      <c r="CV48">
        <v>1</v>
      </c>
      <c r="CW48">
        <v>0</v>
      </c>
      <c r="CX48">
        <v>0</v>
      </c>
      <c r="CY48">
        <v>0</v>
      </c>
      <c r="CZ48">
        <v>0</v>
      </c>
      <c r="DA48">
        <v>1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Q48" t="s">
        <v>136</v>
      </c>
      <c r="DR48" s="12" t="s">
        <v>1015</v>
      </c>
      <c r="DS48" s="11">
        <v>46</v>
      </c>
      <c r="DT48" t="s">
        <v>595</v>
      </c>
      <c r="DU48">
        <v>1</v>
      </c>
      <c r="DV48">
        <v>1</v>
      </c>
      <c r="DY48">
        <v>1</v>
      </c>
      <c r="EH48">
        <v>1</v>
      </c>
      <c r="EK48">
        <v>1</v>
      </c>
      <c r="EV48">
        <v>1</v>
      </c>
    </row>
    <row r="49" spans="1:216" s="120" customFormat="1" ht="45" x14ac:dyDescent="0.25">
      <c r="A49" t="s">
        <v>163</v>
      </c>
      <c r="B49" s="10" t="s">
        <v>535</v>
      </c>
      <c r="C49" s="11">
        <v>53</v>
      </c>
      <c r="D49" t="s">
        <v>165</v>
      </c>
      <c r="E49" s="9">
        <v>1</v>
      </c>
      <c r="F49" s="9">
        <v>1</v>
      </c>
      <c r="G49" s="9">
        <v>0</v>
      </c>
      <c r="H49" s="9">
        <v>1</v>
      </c>
      <c r="I49" s="9">
        <v>0</v>
      </c>
      <c r="J49" s="9">
        <v>1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6">
        <f>SUM(E49:R49)</f>
        <v>4</v>
      </c>
      <c r="T49"/>
      <c r="U49"/>
      <c r="V49"/>
      <c r="W49"/>
      <c r="X49" s="20" t="s">
        <v>233</v>
      </c>
      <c r="Y49" s="123" t="s">
        <v>449</v>
      </c>
      <c r="Z49" s="134">
        <v>33</v>
      </c>
      <c r="AA49" s="20" t="s">
        <v>235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/>
      <c r="DP49"/>
      <c r="DQ49" t="s">
        <v>136</v>
      </c>
      <c r="DR49" s="10" t="s">
        <v>1016</v>
      </c>
      <c r="DS49" s="11">
        <v>47</v>
      </c>
      <c r="DT49" t="s">
        <v>594</v>
      </c>
      <c r="DU49">
        <v>1</v>
      </c>
      <c r="DV49">
        <v>1</v>
      </c>
      <c r="DW49">
        <v>1</v>
      </c>
      <c r="DX49"/>
      <c r="DY49">
        <v>1</v>
      </c>
      <c r="DZ49"/>
      <c r="EA49"/>
      <c r="EB49"/>
      <c r="EC49"/>
      <c r="ED49"/>
      <c r="EE49"/>
      <c r="EF49"/>
      <c r="EG49"/>
      <c r="EH49">
        <v>1</v>
      </c>
      <c r="EI49">
        <v>1</v>
      </c>
      <c r="EJ49"/>
      <c r="EK49">
        <v>1</v>
      </c>
      <c r="EL49"/>
      <c r="EM49"/>
      <c r="EN49"/>
      <c r="EO49"/>
      <c r="EP49"/>
      <c r="EQ49"/>
      <c r="ER49"/>
      <c r="ES49"/>
      <c r="ET49"/>
      <c r="EU49">
        <v>1</v>
      </c>
      <c r="EV49">
        <v>1</v>
      </c>
      <c r="EW49"/>
      <c r="EX49"/>
      <c r="EY49"/>
      <c r="EZ49"/>
      <c r="FA49"/>
      <c r="FB49"/>
      <c r="FC49"/>
      <c r="FD49"/>
      <c r="FE49"/>
      <c r="FF49">
        <v>1</v>
      </c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</row>
    <row r="50" spans="1:216" s="20" customFormat="1" ht="75" x14ac:dyDescent="0.25">
      <c r="A50" t="s">
        <v>136</v>
      </c>
      <c r="B50" s="12" t="s">
        <v>537</v>
      </c>
      <c r="C50" s="11">
        <v>55</v>
      </c>
      <c r="D50" t="s">
        <v>595</v>
      </c>
      <c r="E50" s="9">
        <v>1</v>
      </c>
      <c r="F50" s="9">
        <v>1</v>
      </c>
      <c r="G50" s="9">
        <v>1</v>
      </c>
      <c r="H50" s="9">
        <v>0</v>
      </c>
      <c r="I50" s="9">
        <v>0</v>
      </c>
      <c r="J50" s="9">
        <v>1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6">
        <f>SUM(E50:R50)</f>
        <v>4</v>
      </c>
      <c r="T50"/>
      <c r="U50"/>
      <c r="V50"/>
      <c r="W50"/>
      <c r="X50" s="20" t="s">
        <v>233</v>
      </c>
      <c r="Y50" s="123" t="s">
        <v>449</v>
      </c>
      <c r="Z50" s="134">
        <v>33</v>
      </c>
      <c r="AA50" s="20" t="s">
        <v>235</v>
      </c>
      <c r="AB50">
        <v>1</v>
      </c>
      <c r="AC50">
        <v>1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/>
      <c r="DP50"/>
      <c r="DQ50" t="s">
        <v>163</v>
      </c>
      <c r="DR50" s="10" t="s">
        <v>1017</v>
      </c>
      <c r="DS50" s="11">
        <v>48</v>
      </c>
      <c r="DT50" t="s">
        <v>165</v>
      </c>
      <c r="DU50">
        <v>1</v>
      </c>
      <c r="DV50"/>
      <c r="DW50">
        <v>1</v>
      </c>
      <c r="DX50"/>
      <c r="DY50">
        <v>1</v>
      </c>
      <c r="DZ50"/>
      <c r="EA50"/>
      <c r="EB50"/>
      <c r="EC50"/>
      <c r="ED50"/>
      <c r="EE50"/>
      <c r="EF50"/>
      <c r="EG50"/>
      <c r="EH50"/>
      <c r="EI50">
        <v>1</v>
      </c>
      <c r="EJ50"/>
      <c r="EK50">
        <v>1</v>
      </c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>
        <v>1</v>
      </c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</row>
    <row r="51" spans="1:216" s="119" customFormat="1" ht="75" x14ac:dyDescent="0.25">
      <c r="A51" s="119" t="s">
        <v>226</v>
      </c>
      <c r="B51" s="129" t="s">
        <v>684</v>
      </c>
      <c r="C51" s="135">
        <v>57</v>
      </c>
      <c r="D51" s="119" t="s">
        <v>228</v>
      </c>
      <c r="E51" s="130">
        <v>1</v>
      </c>
      <c r="F51" s="130">
        <v>1</v>
      </c>
      <c r="G51" s="130">
        <v>0</v>
      </c>
      <c r="H51" s="130">
        <v>0</v>
      </c>
      <c r="I51" s="130">
        <v>1</v>
      </c>
      <c r="J51" s="130">
        <v>0</v>
      </c>
      <c r="K51" s="130">
        <v>0</v>
      </c>
      <c r="L51" s="130">
        <v>1</v>
      </c>
      <c r="M51" s="130">
        <v>0</v>
      </c>
      <c r="N51" s="130">
        <v>0</v>
      </c>
      <c r="O51" s="130">
        <v>0</v>
      </c>
      <c r="P51" s="130">
        <v>0</v>
      </c>
      <c r="Q51" s="130">
        <v>0</v>
      </c>
      <c r="R51" s="130">
        <v>0</v>
      </c>
      <c r="S51" s="131">
        <f>SUM(E51:R51)</f>
        <v>4</v>
      </c>
      <c r="W51"/>
      <c r="X51" t="s">
        <v>256</v>
      </c>
      <c r="Y51" s="10" t="s">
        <v>524</v>
      </c>
      <c r="Z51" s="11">
        <v>34</v>
      </c>
      <c r="AA51" t="s">
        <v>235</v>
      </c>
      <c r="AB51">
        <v>1</v>
      </c>
      <c r="AC51">
        <v>0</v>
      </c>
      <c r="AD51">
        <v>1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/>
      <c r="DP51"/>
      <c r="DQ51" t="s">
        <v>163</v>
      </c>
      <c r="DR51" s="10" t="s">
        <v>1018</v>
      </c>
      <c r="DS51" s="11">
        <v>49</v>
      </c>
      <c r="DT51" t="s">
        <v>165</v>
      </c>
      <c r="DU51">
        <v>1</v>
      </c>
      <c r="DV51"/>
      <c r="DW51">
        <v>1</v>
      </c>
      <c r="DX51"/>
      <c r="DY51">
        <v>1</v>
      </c>
      <c r="DZ51"/>
      <c r="EA51"/>
      <c r="EB51"/>
      <c r="EC51"/>
      <c r="ED51"/>
      <c r="EE51"/>
      <c r="EF51"/>
      <c r="EG51"/>
      <c r="EH51"/>
      <c r="EI51">
        <v>1</v>
      </c>
      <c r="EJ51"/>
      <c r="EK51">
        <v>1</v>
      </c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>
        <v>1</v>
      </c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</row>
    <row r="52" spans="1:216" ht="75" x14ac:dyDescent="0.25">
      <c r="A52" s="119" t="s">
        <v>189</v>
      </c>
      <c r="B52" s="129" t="s">
        <v>687</v>
      </c>
      <c r="C52" s="135">
        <v>61</v>
      </c>
      <c r="D52" s="119" t="s">
        <v>584</v>
      </c>
      <c r="E52" s="130">
        <v>1</v>
      </c>
      <c r="F52" s="130">
        <v>1</v>
      </c>
      <c r="G52" s="130">
        <v>0</v>
      </c>
      <c r="H52" s="130">
        <v>0</v>
      </c>
      <c r="I52" s="130">
        <v>0</v>
      </c>
      <c r="J52" s="130">
        <v>1</v>
      </c>
      <c r="K52" s="130">
        <v>0</v>
      </c>
      <c r="L52" s="130">
        <v>0</v>
      </c>
      <c r="M52" s="130">
        <v>0</v>
      </c>
      <c r="N52" s="130">
        <v>0</v>
      </c>
      <c r="O52" s="130">
        <v>0</v>
      </c>
      <c r="P52" s="130">
        <v>1</v>
      </c>
      <c r="Q52" s="130">
        <v>0</v>
      </c>
      <c r="R52" s="130">
        <v>0</v>
      </c>
      <c r="S52" s="131">
        <f>SUM(E52:R52)</f>
        <v>4</v>
      </c>
      <c r="T52" s="119"/>
      <c r="U52" s="119"/>
      <c r="V52" s="119"/>
      <c r="X52" t="s">
        <v>10</v>
      </c>
      <c r="Y52" s="10" t="s">
        <v>525</v>
      </c>
      <c r="Z52" s="11">
        <v>35</v>
      </c>
      <c r="AA52" t="s">
        <v>13</v>
      </c>
      <c r="AB52">
        <v>1</v>
      </c>
      <c r="AC52">
        <v>0</v>
      </c>
      <c r="AD52">
        <v>1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Q52" t="s">
        <v>163</v>
      </c>
      <c r="DR52" s="10" t="s">
        <v>1019</v>
      </c>
      <c r="DS52" s="11">
        <v>50</v>
      </c>
      <c r="DT52" t="s">
        <v>165</v>
      </c>
      <c r="DU52">
        <v>1</v>
      </c>
      <c r="DW52">
        <v>1</v>
      </c>
      <c r="DY52">
        <v>1</v>
      </c>
      <c r="EI52">
        <v>1</v>
      </c>
      <c r="EK52">
        <v>1</v>
      </c>
      <c r="FF52">
        <v>1</v>
      </c>
    </row>
    <row r="53" spans="1:216" ht="75" x14ac:dyDescent="0.25">
      <c r="A53" s="160" t="s">
        <v>231</v>
      </c>
      <c r="B53" s="161" t="s">
        <v>876</v>
      </c>
      <c r="C53" s="162">
        <v>71</v>
      </c>
      <c r="D53" s="160" t="s">
        <v>578</v>
      </c>
      <c r="E53" s="163">
        <v>0</v>
      </c>
      <c r="F53" s="163">
        <v>1</v>
      </c>
      <c r="G53" s="163">
        <v>0</v>
      </c>
      <c r="H53" s="163">
        <v>1</v>
      </c>
      <c r="I53" s="163">
        <v>1</v>
      </c>
      <c r="J53" s="163">
        <v>0</v>
      </c>
      <c r="K53" s="163">
        <v>0</v>
      </c>
      <c r="L53" s="163">
        <v>1</v>
      </c>
      <c r="M53" s="163">
        <v>0</v>
      </c>
      <c r="N53" s="163">
        <v>0</v>
      </c>
      <c r="O53" s="163">
        <v>0</v>
      </c>
      <c r="P53" s="163">
        <v>0</v>
      </c>
      <c r="Q53" s="163">
        <v>0</v>
      </c>
      <c r="R53" s="163">
        <v>0</v>
      </c>
      <c r="S53" s="125">
        <f>SUM(E53:R53)</f>
        <v>4</v>
      </c>
      <c r="T53" s="160"/>
      <c r="U53" s="160"/>
      <c r="V53" s="160"/>
      <c r="X53" t="s">
        <v>105</v>
      </c>
      <c r="Y53" s="10" t="s">
        <v>335</v>
      </c>
      <c r="Z53" s="11">
        <v>36</v>
      </c>
      <c r="AA53" t="s">
        <v>559</v>
      </c>
      <c r="AB53">
        <v>1</v>
      </c>
      <c r="AC53">
        <v>0</v>
      </c>
      <c r="AD53">
        <v>1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Q53" t="s">
        <v>4</v>
      </c>
      <c r="DR53" s="10" t="s">
        <v>1020</v>
      </c>
      <c r="DS53" s="11">
        <v>51</v>
      </c>
      <c r="DT53" t="s">
        <v>580</v>
      </c>
      <c r="EN53">
        <v>1</v>
      </c>
    </row>
    <row r="54" spans="1:216" s="119" customFormat="1" ht="60" x14ac:dyDescent="0.25">
      <c r="A54" s="20" t="s">
        <v>231</v>
      </c>
      <c r="B54" s="118" t="s">
        <v>356</v>
      </c>
      <c r="C54" s="134">
        <v>79</v>
      </c>
      <c r="D54" s="20" t="s">
        <v>578</v>
      </c>
      <c r="E54" s="124">
        <v>0</v>
      </c>
      <c r="F54" s="124">
        <v>1</v>
      </c>
      <c r="G54" s="124">
        <v>0</v>
      </c>
      <c r="H54" s="124">
        <v>1</v>
      </c>
      <c r="I54" s="124">
        <v>1</v>
      </c>
      <c r="J54" s="124">
        <v>0</v>
      </c>
      <c r="K54" s="124">
        <v>0</v>
      </c>
      <c r="L54" s="124">
        <v>1</v>
      </c>
      <c r="M54" s="124">
        <v>0</v>
      </c>
      <c r="N54" s="124">
        <v>0</v>
      </c>
      <c r="O54" s="124">
        <v>0</v>
      </c>
      <c r="P54" s="124">
        <v>0</v>
      </c>
      <c r="Q54" s="124">
        <v>0</v>
      </c>
      <c r="R54" s="124">
        <v>0</v>
      </c>
      <c r="S54" s="125">
        <f>SUM(E54:R54)</f>
        <v>4</v>
      </c>
      <c r="T54" s="20"/>
      <c r="U54" s="20"/>
      <c r="V54" s="20"/>
      <c r="X54" s="119" t="s">
        <v>193</v>
      </c>
      <c r="Y54" s="132" t="s">
        <v>119</v>
      </c>
      <c r="Z54" s="135">
        <v>37</v>
      </c>
      <c r="AA54" s="119" t="s">
        <v>555</v>
      </c>
      <c r="AB54">
        <v>1</v>
      </c>
      <c r="AC54">
        <v>0</v>
      </c>
      <c r="AD54">
        <v>1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/>
      <c r="DP54"/>
      <c r="DQ54" t="s">
        <v>4</v>
      </c>
      <c r="DR54" s="10" t="s">
        <v>1021</v>
      </c>
      <c r="DS54" s="11">
        <v>52</v>
      </c>
      <c r="DT54" t="s">
        <v>580</v>
      </c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>
        <v>1</v>
      </c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</row>
    <row r="55" spans="1:216" s="119" customFormat="1" ht="90" x14ac:dyDescent="0.25">
      <c r="A55" t="s">
        <v>242</v>
      </c>
      <c r="B55" s="12" t="s">
        <v>244</v>
      </c>
      <c r="C55" s="11">
        <v>4</v>
      </c>
      <c r="D55" t="s">
        <v>556</v>
      </c>
      <c r="E55" s="9">
        <v>1</v>
      </c>
      <c r="F55" s="9">
        <v>0</v>
      </c>
      <c r="G55" s="9">
        <v>0</v>
      </c>
      <c r="H55" s="9">
        <v>0</v>
      </c>
      <c r="I55" s="9">
        <v>1</v>
      </c>
      <c r="J55" s="9">
        <v>0</v>
      </c>
      <c r="K55" s="9">
        <v>0</v>
      </c>
      <c r="L55" s="9">
        <v>0</v>
      </c>
      <c r="M55" s="9">
        <v>1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6">
        <f>SUM(E55:R55)</f>
        <v>3</v>
      </c>
      <c r="T55"/>
      <c r="U55"/>
      <c r="V55"/>
      <c r="X55" s="119" t="s">
        <v>117</v>
      </c>
      <c r="Y55" s="132" t="s">
        <v>119</v>
      </c>
      <c r="Z55" s="135">
        <v>37</v>
      </c>
      <c r="AA55" s="119" t="s">
        <v>587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1</v>
      </c>
      <c r="AQ55">
        <v>1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0</v>
      </c>
      <c r="BN55">
        <v>0</v>
      </c>
      <c r="BO55">
        <v>1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/>
      <c r="DP55"/>
      <c r="DQ55" t="s">
        <v>163</v>
      </c>
      <c r="DR55" s="10" t="s">
        <v>1022</v>
      </c>
      <c r="DS55" s="11">
        <v>53</v>
      </c>
      <c r="DT55" t="s">
        <v>165</v>
      </c>
      <c r="DU55">
        <v>1</v>
      </c>
      <c r="DV55"/>
      <c r="DW55">
        <v>1</v>
      </c>
      <c r="DX55"/>
      <c r="DY55">
        <v>1</v>
      </c>
      <c r="DZ55"/>
      <c r="EA55"/>
      <c r="EB55"/>
      <c r="EC55"/>
      <c r="ED55"/>
      <c r="EE55"/>
      <c r="EF55"/>
      <c r="EG55"/>
      <c r="EH55"/>
      <c r="EI55">
        <v>1</v>
      </c>
      <c r="EJ55"/>
      <c r="EK55">
        <v>1</v>
      </c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>
        <v>1</v>
      </c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</row>
    <row r="56" spans="1:216" s="119" customFormat="1" ht="60" x14ac:dyDescent="0.25">
      <c r="A56" s="119" t="s">
        <v>95</v>
      </c>
      <c r="B56" s="132" t="s">
        <v>97</v>
      </c>
      <c r="C56" s="135">
        <v>5</v>
      </c>
      <c r="D56" s="119" t="s">
        <v>565</v>
      </c>
      <c r="E56" s="130">
        <v>1</v>
      </c>
      <c r="F56" s="130">
        <v>0</v>
      </c>
      <c r="G56" s="130">
        <v>1</v>
      </c>
      <c r="H56" s="130">
        <v>0</v>
      </c>
      <c r="I56" s="130">
        <v>0</v>
      </c>
      <c r="J56" s="130">
        <v>0</v>
      </c>
      <c r="K56" s="130">
        <v>0</v>
      </c>
      <c r="L56" s="130">
        <v>0</v>
      </c>
      <c r="M56" s="130">
        <v>1</v>
      </c>
      <c r="N56" s="130">
        <v>0</v>
      </c>
      <c r="O56" s="130">
        <v>0</v>
      </c>
      <c r="P56" s="130">
        <v>0</v>
      </c>
      <c r="Q56" s="130">
        <v>0</v>
      </c>
      <c r="R56" s="130">
        <v>0</v>
      </c>
      <c r="S56" s="131">
        <f>SUM(E56:R56)</f>
        <v>3</v>
      </c>
      <c r="X56" s="119" t="s">
        <v>200</v>
      </c>
      <c r="Y56" s="132" t="s">
        <v>119</v>
      </c>
      <c r="Z56" s="135">
        <v>37</v>
      </c>
      <c r="AA56" s="119" t="s">
        <v>202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1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</v>
      </c>
      <c r="BM56">
        <v>0</v>
      </c>
      <c r="BN56">
        <v>0</v>
      </c>
      <c r="BO56">
        <v>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/>
      <c r="DP56"/>
      <c r="DQ56" t="s">
        <v>136</v>
      </c>
      <c r="DR56" s="12" t="s">
        <v>1023</v>
      </c>
      <c r="DS56" s="11">
        <v>54</v>
      </c>
      <c r="DT56" t="s">
        <v>594</v>
      </c>
      <c r="DU56">
        <v>1</v>
      </c>
      <c r="DV56">
        <v>1</v>
      </c>
      <c r="DW56">
        <v>1</v>
      </c>
      <c r="DX56"/>
      <c r="DY56">
        <v>1</v>
      </c>
      <c r="DZ56"/>
      <c r="EA56"/>
      <c r="EB56"/>
      <c r="EC56"/>
      <c r="ED56"/>
      <c r="EE56"/>
      <c r="EF56"/>
      <c r="EG56"/>
      <c r="EH56">
        <v>1</v>
      </c>
      <c r="EI56">
        <v>1</v>
      </c>
      <c r="EJ56"/>
      <c r="EK56">
        <v>1</v>
      </c>
      <c r="EL56"/>
      <c r="EM56"/>
      <c r="EN56"/>
      <c r="EO56"/>
      <c r="EP56"/>
      <c r="EQ56"/>
      <c r="ER56"/>
      <c r="ES56"/>
      <c r="ET56">
        <v>1</v>
      </c>
      <c r="EU56"/>
      <c r="EV56">
        <v>1</v>
      </c>
      <c r="EW56"/>
      <c r="EX56"/>
      <c r="EY56"/>
      <c r="EZ56"/>
      <c r="FA56"/>
      <c r="FB56"/>
      <c r="FC56"/>
      <c r="FD56"/>
      <c r="FE56"/>
      <c r="FF56">
        <v>1</v>
      </c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</row>
    <row r="57" spans="1:216" s="120" customFormat="1" ht="90" x14ac:dyDescent="0.25">
      <c r="A57" t="s">
        <v>138</v>
      </c>
      <c r="B57" s="12" t="s">
        <v>418</v>
      </c>
      <c r="C57" s="11">
        <v>9</v>
      </c>
      <c r="D57" t="s">
        <v>127</v>
      </c>
      <c r="E57" s="9">
        <v>1</v>
      </c>
      <c r="F57" s="9">
        <v>1</v>
      </c>
      <c r="G57" s="9">
        <v>0</v>
      </c>
      <c r="H57" s="9">
        <v>0</v>
      </c>
      <c r="I57" s="9">
        <v>0</v>
      </c>
      <c r="J57" s="9">
        <v>0</v>
      </c>
      <c r="K57" s="9">
        <v>1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6">
        <f>SUM(E57:R57)</f>
        <v>3</v>
      </c>
      <c r="T57"/>
      <c r="U57"/>
      <c r="V57"/>
      <c r="W57"/>
      <c r="X57" s="121" t="s">
        <v>33</v>
      </c>
      <c r="Y57" s="137" t="s">
        <v>36</v>
      </c>
      <c r="Z57" s="138">
        <v>38</v>
      </c>
      <c r="AA57" s="121" t="s">
        <v>161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/>
      <c r="DP57"/>
      <c r="DQ57" t="s">
        <v>136</v>
      </c>
      <c r="DR57" s="12" t="s">
        <v>1024</v>
      </c>
      <c r="DS57" s="11">
        <v>55</v>
      </c>
      <c r="DT57" t="s">
        <v>595</v>
      </c>
      <c r="DU57">
        <v>1</v>
      </c>
      <c r="DV57">
        <v>1</v>
      </c>
      <c r="DW57"/>
      <c r="DX57"/>
      <c r="DY57">
        <v>1</v>
      </c>
      <c r="DZ57"/>
      <c r="EA57"/>
      <c r="EB57"/>
      <c r="EC57"/>
      <c r="ED57"/>
      <c r="EE57"/>
      <c r="EF57"/>
      <c r="EG57"/>
      <c r="EH57">
        <v>1</v>
      </c>
      <c r="EI57"/>
      <c r="EJ57"/>
      <c r="EK57">
        <v>1</v>
      </c>
      <c r="EL57"/>
      <c r="EM57"/>
      <c r="EN57"/>
      <c r="EO57"/>
      <c r="EP57"/>
      <c r="EQ57"/>
      <c r="ER57"/>
      <c r="ES57"/>
      <c r="ET57"/>
      <c r="EU57"/>
      <c r="EV57">
        <v>1</v>
      </c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</row>
    <row r="58" spans="1:216" s="20" customFormat="1" ht="60" x14ac:dyDescent="0.25">
      <c r="A58" s="121" t="s">
        <v>88</v>
      </c>
      <c r="B58" s="137" t="s">
        <v>89</v>
      </c>
      <c r="C58" s="138">
        <v>15</v>
      </c>
      <c r="D58" s="121" t="s">
        <v>557</v>
      </c>
      <c r="E58" s="139">
        <v>1</v>
      </c>
      <c r="F58" s="139">
        <v>1</v>
      </c>
      <c r="G58" s="139">
        <v>1</v>
      </c>
      <c r="H58" s="139">
        <v>0</v>
      </c>
      <c r="I58" s="139">
        <v>0</v>
      </c>
      <c r="J58" s="139">
        <v>0</v>
      </c>
      <c r="K58" s="139">
        <v>0</v>
      </c>
      <c r="L58" s="139">
        <v>0</v>
      </c>
      <c r="M58" s="139">
        <v>0</v>
      </c>
      <c r="N58" s="139">
        <v>0</v>
      </c>
      <c r="O58" s="139">
        <v>0</v>
      </c>
      <c r="P58" s="139">
        <v>0</v>
      </c>
      <c r="Q58" s="139">
        <v>0</v>
      </c>
      <c r="R58" s="139">
        <v>0</v>
      </c>
      <c r="S58" s="140">
        <f>SUM(E58:R58)</f>
        <v>3</v>
      </c>
      <c r="T58" s="121"/>
      <c r="U58" s="121"/>
      <c r="V58" s="121"/>
      <c r="W58"/>
      <c r="X58" s="121" t="s">
        <v>205</v>
      </c>
      <c r="Y58" s="137" t="s">
        <v>36</v>
      </c>
      <c r="Z58" s="138">
        <v>38</v>
      </c>
      <c r="AA58" s="121" t="s">
        <v>557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/>
      <c r="DP58"/>
      <c r="DQ58" t="s">
        <v>176</v>
      </c>
      <c r="DR58" s="10" t="s">
        <v>1025</v>
      </c>
      <c r="DS58" s="11">
        <v>56</v>
      </c>
      <c r="DT58" t="s">
        <v>558</v>
      </c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</row>
    <row r="59" spans="1:216" s="119" customFormat="1" ht="60" x14ac:dyDescent="0.25">
      <c r="A59" s="121" t="s">
        <v>222</v>
      </c>
      <c r="B59" s="137" t="s">
        <v>89</v>
      </c>
      <c r="C59" s="138">
        <v>15</v>
      </c>
      <c r="D59" s="121" t="s">
        <v>588</v>
      </c>
      <c r="E59" s="139">
        <v>1</v>
      </c>
      <c r="F59" s="139">
        <v>0</v>
      </c>
      <c r="G59" s="139">
        <v>1</v>
      </c>
      <c r="H59" s="139">
        <v>0</v>
      </c>
      <c r="I59" s="139">
        <v>0</v>
      </c>
      <c r="J59" s="139">
        <v>0</v>
      </c>
      <c r="K59" s="139">
        <v>0</v>
      </c>
      <c r="L59" s="139">
        <v>0</v>
      </c>
      <c r="M59" s="139">
        <v>0</v>
      </c>
      <c r="N59" s="139">
        <v>0</v>
      </c>
      <c r="O59" s="139">
        <v>1</v>
      </c>
      <c r="P59" s="139">
        <v>0</v>
      </c>
      <c r="Q59" s="139">
        <v>0</v>
      </c>
      <c r="R59" s="139">
        <v>0</v>
      </c>
      <c r="S59" s="140">
        <f>SUM(E59:R59)</f>
        <v>3</v>
      </c>
      <c r="T59" s="121"/>
      <c r="U59" s="121"/>
      <c r="V59" s="121"/>
      <c r="W59"/>
      <c r="X59" s="121" t="s">
        <v>81</v>
      </c>
      <c r="Y59" s="137" t="s">
        <v>36</v>
      </c>
      <c r="Z59" s="138">
        <v>38</v>
      </c>
      <c r="AA59" s="121" t="s">
        <v>83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/>
      <c r="DP59"/>
      <c r="DQ59" s="119" t="s">
        <v>1026</v>
      </c>
      <c r="DR59" s="129" t="s">
        <v>1027</v>
      </c>
      <c r="DS59" s="135"/>
      <c r="DU59">
        <v>3</v>
      </c>
      <c r="DV59">
        <v>0</v>
      </c>
      <c r="DW59">
        <v>0</v>
      </c>
      <c r="DX59">
        <v>1</v>
      </c>
      <c r="DY59">
        <v>0</v>
      </c>
      <c r="DZ59">
        <v>0</v>
      </c>
      <c r="EA59">
        <v>3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1</v>
      </c>
      <c r="EK59">
        <v>0</v>
      </c>
      <c r="EL59">
        <v>0</v>
      </c>
      <c r="EM59">
        <v>3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/>
    </row>
    <row r="60" spans="1:216" ht="75" x14ac:dyDescent="0.25">
      <c r="A60" t="s">
        <v>311</v>
      </c>
      <c r="B60" s="10" t="s">
        <v>507</v>
      </c>
      <c r="C60" s="11">
        <v>17</v>
      </c>
      <c r="D60" t="s">
        <v>592</v>
      </c>
      <c r="E60" s="9">
        <v>1</v>
      </c>
      <c r="F60" s="9">
        <v>1</v>
      </c>
      <c r="G60" s="9">
        <v>0</v>
      </c>
      <c r="H60" s="9">
        <v>0</v>
      </c>
      <c r="I60" s="9">
        <v>0</v>
      </c>
      <c r="J60" s="9">
        <v>0</v>
      </c>
      <c r="K60" s="9">
        <v>1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6">
        <f>SUM(E60:R60)</f>
        <v>3</v>
      </c>
      <c r="X60" s="121" t="s">
        <v>55</v>
      </c>
      <c r="Y60" s="137" t="s">
        <v>36</v>
      </c>
      <c r="Z60" s="138">
        <v>38</v>
      </c>
      <c r="AA60" s="121" t="s">
        <v>739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Q60" t="s">
        <v>236</v>
      </c>
      <c r="DR60" s="10" t="s">
        <v>1028</v>
      </c>
      <c r="DS60" s="11">
        <v>58</v>
      </c>
      <c r="DT60" t="s">
        <v>573</v>
      </c>
      <c r="DY60">
        <v>1</v>
      </c>
    </row>
    <row r="61" spans="1:216" ht="75" x14ac:dyDescent="0.25">
      <c r="A61" t="s">
        <v>311</v>
      </c>
      <c r="B61" s="10" t="s">
        <v>508</v>
      </c>
      <c r="C61" s="11">
        <v>18</v>
      </c>
      <c r="D61" t="s">
        <v>592</v>
      </c>
      <c r="E61" s="9">
        <v>1</v>
      </c>
      <c r="F61" s="9">
        <v>1</v>
      </c>
      <c r="G61" s="9">
        <v>0</v>
      </c>
      <c r="H61" s="9">
        <v>0</v>
      </c>
      <c r="I61" s="9">
        <v>0</v>
      </c>
      <c r="J61" s="9">
        <v>0</v>
      </c>
      <c r="K61" s="9">
        <v>1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6">
        <f>SUM(E61:R61)</f>
        <v>3</v>
      </c>
      <c r="X61" s="121" t="s">
        <v>274</v>
      </c>
      <c r="Y61" s="137" t="s">
        <v>36</v>
      </c>
      <c r="Z61" s="138">
        <v>38</v>
      </c>
      <c r="AA61" s="121" t="s">
        <v>740</v>
      </c>
      <c r="AB61">
        <v>0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Q61" t="s">
        <v>160</v>
      </c>
      <c r="DR61" s="10" t="s">
        <v>1029</v>
      </c>
      <c r="DS61" s="11">
        <v>59</v>
      </c>
      <c r="DT61" t="s">
        <v>161</v>
      </c>
      <c r="DV61">
        <v>1</v>
      </c>
    </row>
    <row r="62" spans="1:216" ht="60" x14ac:dyDescent="0.25">
      <c r="A62" t="s">
        <v>311</v>
      </c>
      <c r="B62" s="10" t="s">
        <v>510</v>
      </c>
      <c r="C62" s="11">
        <v>20</v>
      </c>
      <c r="D62" t="s">
        <v>592</v>
      </c>
      <c r="E62" s="9">
        <v>1</v>
      </c>
      <c r="F62" s="9">
        <v>1</v>
      </c>
      <c r="G62" s="9">
        <v>0</v>
      </c>
      <c r="H62" s="9">
        <v>0</v>
      </c>
      <c r="I62" s="9">
        <v>0</v>
      </c>
      <c r="J62" s="9">
        <v>0</v>
      </c>
      <c r="K62" s="9">
        <v>1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  <c r="S62" s="6">
        <f>SUM(E62:R62)</f>
        <v>3</v>
      </c>
      <c r="X62" s="121" t="s">
        <v>245</v>
      </c>
      <c r="Y62" s="137" t="s">
        <v>36</v>
      </c>
      <c r="Z62" s="138">
        <v>38</v>
      </c>
      <c r="AA62" s="121" t="s">
        <v>557</v>
      </c>
      <c r="AB62">
        <v>1</v>
      </c>
      <c r="AC62">
        <v>1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1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1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Q62" t="s">
        <v>85</v>
      </c>
      <c r="DR62" s="10" t="s">
        <v>1030</v>
      </c>
      <c r="DS62" s="11">
        <v>60</v>
      </c>
      <c r="DT62" t="s">
        <v>48</v>
      </c>
      <c r="DU62">
        <v>1</v>
      </c>
      <c r="EA62">
        <v>1</v>
      </c>
      <c r="EM62">
        <v>1</v>
      </c>
    </row>
    <row r="63" spans="1:216" ht="60" x14ac:dyDescent="0.25">
      <c r="A63" t="s">
        <v>311</v>
      </c>
      <c r="B63" s="10" t="s">
        <v>511</v>
      </c>
      <c r="C63" s="11">
        <v>21</v>
      </c>
      <c r="D63" t="s">
        <v>592</v>
      </c>
      <c r="E63" s="9">
        <v>1</v>
      </c>
      <c r="F63" s="9">
        <v>1</v>
      </c>
      <c r="G63" s="9">
        <v>0</v>
      </c>
      <c r="H63" s="9">
        <v>0</v>
      </c>
      <c r="I63" s="9">
        <v>0</v>
      </c>
      <c r="J63" s="9">
        <v>0</v>
      </c>
      <c r="K63" s="9">
        <v>1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6">
        <f>SUM(E63:R63)</f>
        <v>3</v>
      </c>
      <c r="X63" s="121" t="s">
        <v>246</v>
      </c>
      <c r="Y63" s="137" t="s">
        <v>36</v>
      </c>
      <c r="Z63" s="138">
        <v>38</v>
      </c>
      <c r="AA63" s="121" t="s">
        <v>247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Q63" s="119" t="s">
        <v>1031</v>
      </c>
      <c r="DR63" s="129" t="s">
        <v>1032</v>
      </c>
      <c r="DS63" s="135"/>
      <c r="DT63" s="119"/>
      <c r="DU63">
        <v>3</v>
      </c>
      <c r="DV63">
        <v>0</v>
      </c>
      <c r="DW63">
        <v>0</v>
      </c>
      <c r="DX63">
        <v>0</v>
      </c>
      <c r="DY63">
        <v>2</v>
      </c>
      <c r="DZ63">
        <v>0</v>
      </c>
      <c r="EA63">
        <v>1</v>
      </c>
      <c r="EB63">
        <v>1</v>
      </c>
      <c r="EC63">
        <v>0</v>
      </c>
      <c r="ED63">
        <v>1</v>
      </c>
      <c r="EE63">
        <v>0</v>
      </c>
      <c r="EF63">
        <v>1</v>
      </c>
      <c r="EG63">
        <v>0</v>
      </c>
      <c r="EH63">
        <v>0</v>
      </c>
      <c r="EI63">
        <v>0</v>
      </c>
      <c r="EJ63">
        <v>0</v>
      </c>
      <c r="EK63">
        <v>2</v>
      </c>
      <c r="EL63">
        <v>0</v>
      </c>
      <c r="EM63">
        <v>1</v>
      </c>
      <c r="EN63">
        <v>1</v>
      </c>
      <c r="EO63">
        <v>0</v>
      </c>
      <c r="EP63">
        <v>1</v>
      </c>
      <c r="EQ63">
        <v>0</v>
      </c>
      <c r="ER63">
        <v>1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1</v>
      </c>
      <c r="GA63">
        <v>0</v>
      </c>
      <c r="GB63">
        <v>1</v>
      </c>
      <c r="GC63">
        <v>0</v>
      </c>
      <c r="GD63">
        <v>1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1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</row>
    <row r="64" spans="1:216" ht="60" x14ac:dyDescent="0.25">
      <c r="A64" t="s">
        <v>311</v>
      </c>
      <c r="B64" s="10" t="s">
        <v>512</v>
      </c>
      <c r="C64" s="11">
        <v>22</v>
      </c>
      <c r="D64" t="s">
        <v>592</v>
      </c>
      <c r="E64" s="9">
        <v>1</v>
      </c>
      <c r="F64" s="9">
        <v>1</v>
      </c>
      <c r="G64" s="9">
        <v>0</v>
      </c>
      <c r="H64" s="9">
        <v>0</v>
      </c>
      <c r="I64" s="9">
        <v>0</v>
      </c>
      <c r="J64" s="9">
        <v>0</v>
      </c>
      <c r="K64" s="9">
        <v>1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6">
        <f>SUM(E64:R64)</f>
        <v>3</v>
      </c>
      <c r="X64" s="121" t="s">
        <v>197</v>
      </c>
      <c r="Y64" s="137" t="s">
        <v>36</v>
      </c>
      <c r="Z64" s="138">
        <v>38</v>
      </c>
      <c r="AA64" s="121" t="s">
        <v>62</v>
      </c>
      <c r="AB64">
        <v>1</v>
      </c>
      <c r="AC64">
        <v>0</v>
      </c>
      <c r="AD64">
        <v>0</v>
      </c>
      <c r="AE64">
        <v>0</v>
      </c>
      <c r="AF64">
        <v>1</v>
      </c>
      <c r="AG64">
        <v>1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1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0</v>
      </c>
      <c r="CG64">
        <v>1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Q64" t="s">
        <v>215</v>
      </c>
      <c r="DR64" s="10" t="s">
        <v>1033</v>
      </c>
      <c r="DS64" s="11">
        <v>62</v>
      </c>
      <c r="DT64" t="s">
        <v>127</v>
      </c>
      <c r="DU64">
        <v>1</v>
      </c>
    </row>
    <row r="65" spans="1:216" ht="75" x14ac:dyDescent="0.25">
      <c r="A65" t="s">
        <v>311</v>
      </c>
      <c r="B65" s="10" t="s">
        <v>513</v>
      </c>
      <c r="C65" s="11">
        <v>23</v>
      </c>
      <c r="D65" t="s">
        <v>592</v>
      </c>
      <c r="E65" s="9">
        <v>1</v>
      </c>
      <c r="F65" s="9">
        <v>1</v>
      </c>
      <c r="G65" s="9">
        <v>0</v>
      </c>
      <c r="H65" s="9">
        <v>1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6">
        <f>SUM(E65:R65)</f>
        <v>3</v>
      </c>
      <c r="X65" s="121" t="s">
        <v>203</v>
      </c>
      <c r="Y65" s="137" t="s">
        <v>36</v>
      </c>
      <c r="Z65" s="138">
        <v>38</v>
      </c>
      <c r="AA65" s="121" t="s">
        <v>598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Q65" t="s">
        <v>217</v>
      </c>
      <c r="DR65" s="10" t="s">
        <v>1034</v>
      </c>
      <c r="DS65" s="11">
        <v>63</v>
      </c>
      <c r="DT65" t="s">
        <v>585</v>
      </c>
      <c r="EJ65">
        <v>1</v>
      </c>
    </row>
    <row r="66" spans="1:216" s="120" customFormat="1" ht="75" x14ac:dyDescent="0.25">
      <c r="A66" t="s">
        <v>311</v>
      </c>
      <c r="B66" s="10" t="s">
        <v>509</v>
      </c>
      <c r="C66" s="11">
        <v>29</v>
      </c>
      <c r="D66" t="s">
        <v>593</v>
      </c>
      <c r="E66" s="9">
        <v>1</v>
      </c>
      <c r="F66" s="9">
        <v>1</v>
      </c>
      <c r="G66" s="9">
        <v>0</v>
      </c>
      <c r="H66" s="9">
        <v>0</v>
      </c>
      <c r="I66" s="9">
        <v>0</v>
      </c>
      <c r="J66" s="9">
        <v>0</v>
      </c>
      <c r="K66" s="9">
        <v>1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  <c r="S66" s="6">
        <f>SUM(E66:R66)</f>
        <v>3</v>
      </c>
      <c r="T66"/>
      <c r="U66"/>
      <c r="V66"/>
      <c r="W66"/>
      <c r="X66" s="121" t="s">
        <v>203</v>
      </c>
      <c r="Y66" s="137" t="s">
        <v>36</v>
      </c>
      <c r="Z66" s="138">
        <v>38</v>
      </c>
      <c r="AA66" s="121" t="s">
        <v>598</v>
      </c>
      <c r="AB66">
        <v>1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1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1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1</v>
      </c>
      <c r="CH66">
        <v>0</v>
      </c>
      <c r="CI66">
        <v>1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/>
      <c r="DP66"/>
      <c r="DQ66" t="s">
        <v>68</v>
      </c>
      <c r="DR66" s="10" t="s">
        <v>1035</v>
      </c>
      <c r="DS66" s="11">
        <v>64</v>
      </c>
      <c r="DT66" t="s">
        <v>679</v>
      </c>
      <c r="DU66">
        <v>1</v>
      </c>
      <c r="DV66"/>
      <c r="DW66">
        <v>1</v>
      </c>
      <c r="DX66"/>
      <c r="DY66"/>
      <c r="DZ66"/>
      <c r="EA66"/>
      <c r="EB66"/>
      <c r="EC66"/>
      <c r="ED66"/>
      <c r="EE66"/>
      <c r="EF66"/>
      <c r="EG66"/>
      <c r="EH66"/>
      <c r="EI66">
        <v>1</v>
      </c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</row>
    <row r="67" spans="1:216" s="121" customFormat="1" ht="75" x14ac:dyDescent="0.25">
      <c r="A67" s="120" t="s">
        <v>141</v>
      </c>
      <c r="B67" s="126" t="s">
        <v>74</v>
      </c>
      <c r="C67" s="136">
        <v>30</v>
      </c>
      <c r="D67" s="120" t="s">
        <v>562</v>
      </c>
      <c r="E67" s="127">
        <v>1</v>
      </c>
      <c r="F67" s="127">
        <v>0</v>
      </c>
      <c r="G67" s="127">
        <v>1</v>
      </c>
      <c r="H67" s="127">
        <v>0</v>
      </c>
      <c r="I67" s="127">
        <v>1</v>
      </c>
      <c r="J67" s="127">
        <v>0</v>
      </c>
      <c r="K67" s="127">
        <v>0</v>
      </c>
      <c r="L67" s="127">
        <v>0</v>
      </c>
      <c r="M67" s="127">
        <v>0</v>
      </c>
      <c r="N67" s="127">
        <v>0</v>
      </c>
      <c r="O67" s="127">
        <v>0</v>
      </c>
      <c r="P67" s="127">
        <v>0</v>
      </c>
      <c r="Q67" s="127">
        <v>0</v>
      </c>
      <c r="R67" s="127">
        <v>0</v>
      </c>
      <c r="S67" s="128">
        <f>SUM(E67:R67)</f>
        <v>3</v>
      </c>
      <c r="T67" s="120" t="s">
        <v>725</v>
      </c>
      <c r="U67" s="120"/>
      <c r="V67" s="120"/>
      <c r="W67"/>
      <c r="X67" s="121" t="s">
        <v>203</v>
      </c>
      <c r="Y67" s="137" t="s">
        <v>36</v>
      </c>
      <c r="Z67" s="138">
        <v>38</v>
      </c>
      <c r="AA67" s="121" t="s">
        <v>598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/>
      <c r="DP67"/>
      <c r="DQ67" s="20" t="s">
        <v>1036</v>
      </c>
      <c r="DR67" s="118" t="s">
        <v>1037</v>
      </c>
      <c r="DS67" s="134"/>
      <c r="DT67" s="20"/>
      <c r="DU67">
        <v>1</v>
      </c>
      <c r="DV67">
        <v>0</v>
      </c>
      <c r="DW67">
        <v>1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1</v>
      </c>
      <c r="EI67">
        <v>2</v>
      </c>
      <c r="EJ67">
        <v>1</v>
      </c>
      <c r="EK67">
        <v>1</v>
      </c>
      <c r="EL67">
        <v>0</v>
      </c>
      <c r="EM67">
        <v>0</v>
      </c>
      <c r="EN67">
        <v>0</v>
      </c>
      <c r="EO67">
        <v>1</v>
      </c>
      <c r="EP67">
        <v>0</v>
      </c>
      <c r="EQ67">
        <v>0</v>
      </c>
      <c r="ER67">
        <v>0</v>
      </c>
      <c r="ES67">
        <v>0</v>
      </c>
      <c r="ET67">
        <v>1</v>
      </c>
      <c r="EU67">
        <v>1</v>
      </c>
      <c r="EV67">
        <v>1</v>
      </c>
      <c r="EW67">
        <v>0</v>
      </c>
      <c r="EX67">
        <v>0</v>
      </c>
      <c r="EY67">
        <v>0</v>
      </c>
      <c r="EZ67">
        <v>1</v>
      </c>
      <c r="FA67">
        <v>0</v>
      </c>
      <c r="FB67">
        <v>0</v>
      </c>
      <c r="FC67">
        <v>0</v>
      </c>
      <c r="FD67">
        <v>0</v>
      </c>
      <c r="FE67">
        <v>1</v>
      </c>
      <c r="FF67">
        <v>1</v>
      </c>
      <c r="FG67">
        <v>0</v>
      </c>
      <c r="FH67">
        <v>0</v>
      </c>
      <c r="FI67">
        <v>0</v>
      </c>
      <c r="FJ67">
        <v>1</v>
      </c>
      <c r="FK67">
        <v>0</v>
      </c>
      <c r="FL67">
        <v>0</v>
      </c>
      <c r="FM67">
        <v>0</v>
      </c>
      <c r="FN67">
        <v>0</v>
      </c>
      <c r="FO67">
        <v>1</v>
      </c>
      <c r="FP67">
        <v>0</v>
      </c>
      <c r="FQ67">
        <v>0</v>
      </c>
      <c r="FR67">
        <v>0</v>
      </c>
      <c r="FS67">
        <v>1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1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/>
    </row>
    <row r="68" spans="1:216" s="20" customFormat="1" ht="60" x14ac:dyDescent="0.25">
      <c r="A68" t="s">
        <v>10</v>
      </c>
      <c r="B68" s="10" t="s">
        <v>525</v>
      </c>
      <c r="C68" s="11">
        <v>35</v>
      </c>
      <c r="D68" t="s">
        <v>13</v>
      </c>
      <c r="E68" s="9">
        <v>1</v>
      </c>
      <c r="F68" s="9">
        <v>0</v>
      </c>
      <c r="G68" s="9">
        <v>1</v>
      </c>
      <c r="H68" s="9">
        <v>0</v>
      </c>
      <c r="I68" s="9">
        <v>0</v>
      </c>
      <c r="J68" s="9">
        <v>0</v>
      </c>
      <c r="K68" s="9">
        <v>1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6">
        <f>SUM(E68:R68)</f>
        <v>3</v>
      </c>
      <c r="T68"/>
      <c r="U68"/>
      <c r="V68"/>
      <c r="W68"/>
      <c r="X68" s="121" t="s">
        <v>224</v>
      </c>
      <c r="Y68" s="137" t="s">
        <v>36</v>
      </c>
      <c r="Z68" s="138">
        <v>38</v>
      </c>
      <c r="AA68" s="121" t="s">
        <v>599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/>
      <c r="DP68"/>
      <c r="DQ68" t="s">
        <v>207</v>
      </c>
      <c r="DR68" s="10" t="s">
        <v>538</v>
      </c>
      <c r="DS68" s="11">
        <v>66</v>
      </c>
      <c r="DT68" t="s">
        <v>557</v>
      </c>
      <c r="DU68">
        <v>1</v>
      </c>
      <c r="DV68">
        <v>1</v>
      </c>
      <c r="DW68"/>
      <c r="DX68"/>
      <c r="DY68"/>
      <c r="DZ68"/>
      <c r="EA68"/>
      <c r="EB68"/>
      <c r="EC68"/>
      <c r="ED68"/>
      <c r="EE68"/>
      <c r="EF68"/>
      <c r="EG68"/>
      <c r="EH68">
        <v>1</v>
      </c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</row>
    <row r="69" spans="1:216" s="20" customFormat="1" ht="60" x14ac:dyDescent="0.25">
      <c r="A69" s="119" t="s">
        <v>117</v>
      </c>
      <c r="B69" s="132" t="s">
        <v>119</v>
      </c>
      <c r="C69" s="135">
        <v>37</v>
      </c>
      <c r="D69" s="119" t="s">
        <v>587</v>
      </c>
      <c r="E69" s="130">
        <v>1</v>
      </c>
      <c r="F69" s="130">
        <v>1</v>
      </c>
      <c r="G69" s="130">
        <v>1</v>
      </c>
      <c r="H69" s="130">
        <v>0</v>
      </c>
      <c r="I69" s="130">
        <v>0</v>
      </c>
      <c r="J69" s="130">
        <v>0</v>
      </c>
      <c r="K69" s="130">
        <v>0</v>
      </c>
      <c r="L69" s="130">
        <v>0</v>
      </c>
      <c r="M69" s="130">
        <v>0</v>
      </c>
      <c r="N69" s="130">
        <v>0</v>
      </c>
      <c r="O69" s="130">
        <v>0</v>
      </c>
      <c r="P69" s="130">
        <v>0</v>
      </c>
      <c r="Q69" s="130">
        <v>0</v>
      </c>
      <c r="R69" s="130">
        <v>0</v>
      </c>
      <c r="S69" s="131">
        <f>SUM(E69:R69)</f>
        <v>3</v>
      </c>
      <c r="T69" s="119"/>
      <c r="U69" s="119"/>
      <c r="V69" s="119"/>
      <c r="W69"/>
      <c r="X69" s="121" t="s">
        <v>194</v>
      </c>
      <c r="Y69" s="137" t="s">
        <v>36</v>
      </c>
      <c r="Z69" s="138">
        <v>38</v>
      </c>
      <c r="AA69" s="121" t="s">
        <v>601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/>
      <c r="DP69"/>
      <c r="DQ69" t="s">
        <v>207</v>
      </c>
      <c r="DR69" s="10" t="s">
        <v>539</v>
      </c>
      <c r="DS69" s="11">
        <v>67</v>
      </c>
      <c r="DT69" t="s">
        <v>557</v>
      </c>
      <c r="DU69">
        <v>1</v>
      </c>
      <c r="DV69">
        <v>1</v>
      </c>
      <c r="DW69"/>
      <c r="DX69"/>
      <c r="DY69"/>
      <c r="DZ69"/>
      <c r="EA69"/>
      <c r="EB69"/>
      <c r="EC69"/>
      <c r="ED69"/>
      <c r="EE69"/>
      <c r="EF69"/>
      <c r="EG69"/>
      <c r="EH69">
        <v>1</v>
      </c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</row>
    <row r="70" spans="1:216" ht="60" x14ac:dyDescent="0.25">
      <c r="A70" s="119" t="s">
        <v>200</v>
      </c>
      <c r="B70" s="132" t="s">
        <v>119</v>
      </c>
      <c r="C70" s="135">
        <v>37</v>
      </c>
      <c r="D70" s="119" t="s">
        <v>202</v>
      </c>
      <c r="E70" s="130">
        <v>0</v>
      </c>
      <c r="F70" s="130">
        <v>1</v>
      </c>
      <c r="G70" s="130">
        <v>1</v>
      </c>
      <c r="H70" s="130">
        <v>0</v>
      </c>
      <c r="I70" s="130">
        <v>1</v>
      </c>
      <c r="J70" s="130">
        <v>0</v>
      </c>
      <c r="K70" s="130">
        <v>0</v>
      </c>
      <c r="L70" s="130">
        <v>0</v>
      </c>
      <c r="M70" s="130">
        <v>0</v>
      </c>
      <c r="N70" s="130">
        <v>0</v>
      </c>
      <c r="O70" s="130">
        <v>0</v>
      </c>
      <c r="P70" s="130">
        <v>0</v>
      </c>
      <c r="Q70" s="130">
        <v>0</v>
      </c>
      <c r="R70" s="130">
        <v>0</v>
      </c>
      <c r="S70" s="131">
        <f>SUM(E70:R70)</f>
        <v>3</v>
      </c>
      <c r="T70" s="119"/>
      <c r="U70" s="119"/>
      <c r="V70" s="119"/>
      <c r="X70" t="s">
        <v>68</v>
      </c>
      <c r="Y70" s="12" t="s">
        <v>526</v>
      </c>
      <c r="Z70" s="11">
        <v>39</v>
      </c>
      <c r="AA70" t="s">
        <v>555</v>
      </c>
      <c r="AB70">
        <v>1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Q70" t="s">
        <v>16</v>
      </c>
      <c r="DR70" s="10" t="s">
        <v>540</v>
      </c>
      <c r="DS70" s="11">
        <v>68</v>
      </c>
      <c r="DT70" t="s">
        <v>596</v>
      </c>
      <c r="DU70">
        <v>1</v>
      </c>
      <c r="EE70">
        <v>1</v>
      </c>
      <c r="EQ70">
        <v>1</v>
      </c>
    </row>
    <row r="71" spans="1:216" s="120" customFormat="1" ht="60" x14ac:dyDescent="0.25">
      <c r="A71" s="121" t="s">
        <v>205</v>
      </c>
      <c r="B71" s="137" t="s">
        <v>36</v>
      </c>
      <c r="C71" s="138">
        <v>38</v>
      </c>
      <c r="D71" s="121" t="s">
        <v>557</v>
      </c>
      <c r="E71" s="139">
        <v>1</v>
      </c>
      <c r="F71" s="139">
        <v>1</v>
      </c>
      <c r="G71" s="139">
        <v>1</v>
      </c>
      <c r="H71" s="139">
        <v>0</v>
      </c>
      <c r="I71" s="139">
        <v>0</v>
      </c>
      <c r="J71" s="139">
        <v>0</v>
      </c>
      <c r="K71" s="139">
        <v>0</v>
      </c>
      <c r="L71" s="139">
        <v>0</v>
      </c>
      <c r="M71" s="139">
        <v>0</v>
      </c>
      <c r="N71" s="139">
        <v>0</v>
      </c>
      <c r="O71" s="139">
        <v>0</v>
      </c>
      <c r="P71" s="139">
        <v>0</v>
      </c>
      <c r="Q71" s="139">
        <v>0</v>
      </c>
      <c r="R71" s="139">
        <v>0</v>
      </c>
      <c r="S71" s="140">
        <f>SUM(E71:R71)</f>
        <v>3</v>
      </c>
      <c r="T71" s="121"/>
      <c r="U71" s="121"/>
      <c r="V71" s="121"/>
      <c r="W71"/>
      <c r="X71" s="20" t="s">
        <v>58</v>
      </c>
      <c r="Y71" s="123" t="s">
        <v>61</v>
      </c>
      <c r="Z71" s="134">
        <v>40</v>
      </c>
      <c r="AA71" s="20" t="s">
        <v>62</v>
      </c>
      <c r="AB71">
        <v>1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1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/>
      <c r="DP71"/>
      <c r="DQ71" t="s">
        <v>223</v>
      </c>
      <c r="DR71" s="10" t="s">
        <v>541</v>
      </c>
      <c r="DS71" s="11">
        <v>69</v>
      </c>
      <c r="DT71" t="s">
        <v>575</v>
      </c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</row>
    <row r="72" spans="1:216" ht="30" x14ac:dyDescent="0.25">
      <c r="A72" s="121" t="s">
        <v>55</v>
      </c>
      <c r="B72" s="137" t="s">
        <v>36</v>
      </c>
      <c r="C72" s="138">
        <v>38</v>
      </c>
      <c r="D72" s="121" t="s">
        <v>739</v>
      </c>
      <c r="E72" s="139">
        <v>1</v>
      </c>
      <c r="F72" s="139">
        <v>1</v>
      </c>
      <c r="G72" s="139">
        <v>0</v>
      </c>
      <c r="H72" s="139">
        <v>1</v>
      </c>
      <c r="I72" s="139">
        <v>0</v>
      </c>
      <c r="J72" s="139">
        <v>0</v>
      </c>
      <c r="K72" s="139">
        <v>0</v>
      </c>
      <c r="L72" s="139">
        <v>0</v>
      </c>
      <c r="M72" s="139">
        <v>0</v>
      </c>
      <c r="N72" s="139">
        <v>0</v>
      </c>
      <c r="O72" s="139">
        <v>0</v>
      </c>
      <c r="P72" s="139">
        <v>0</v>
      </c>
      <c r="Q72" s="139">
        <v>0</v>
      </c>
      <c r="R72" s="139">
        <v>0</v>
      </c>
      <c r="S72" s="140">
        <f>SUM(E72:R72)</f>
        <v>3</v>
      </c>
      <c r="T72" s="121"/>
      <c r="U72" s="121"/>
      <c r="V72" s="121"/>
      <c r="X72" s="20" t="s">
        <v>163</v>
      </c>
      <c r="Y72" s="123" t="s">
        <v>61</v>
      </c>
      <c r="Z72" s="134">
        <v>40</v>
      </c>
      <c r="AA72" s="20" t="s">
        <v>62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Q72" s="20" t="s">
        <v>1038</v>
      </c>
      <c r="DR72" s="118" t="s">
        <v>506</v>
      </c>
      <c r="DS72" s="134"/>
      <c r="DT72" s="20"/>
    </row>
    <row r="73" spans="1:216" ht="45" x14ac:dyDescent="0.25">
      <c r="A73" s="121" t="s">
        <v>274</v>
      </c>
      <c r="B73" s="137" t="s">
        <v>36</v>
      </c>
      <c r="C73" s="138">
        <v>38</v>
      </c>
      <c r="D73" s="121" t="s">
        <v>740</v>
      </c>
      <c r="E73" s="139">
        <v>1</v>
      </c>
      <c r="F73" s="139">
        <v>0</v>
      </c>
      <c r="G73" s="139">
        <v>1</v>
      </c>
      <c r="H73" s="139">
        <v>0</v>
      </c>
      <c r="I73" s="139">
        <v>1</v>
      </c>
      <c r="J73" s="139">
        <v>0</v>
      </c>
      <c r="K73" s="139">
        <v>0</v>
      </c>
      <c r="L73" s="139">
        <v>0</v>
      </c>
      <c r="M73" s="139">
        <v>0</v>
      </c>
      <c r="N73" s="139">
        <v>0</v>
      </c>
      <c r="O73" s="139">
        <v>0</v>
      </c>
      <c r="P73" s="139">
        <v>0</v>
      </c>
      <c r="Q73" s="139">
        <v>0</v>
      </c>
      <c r="R73" s="139">
        <v>0</v>
      </c>
      <c r="S73" s="140">
        <f>SUM(E73:R73)</f>
        <v>3</v>
      </c>
      <c r="T73" s="121"/>
      <c r="U73" s="121"/>
      <c r="V73" s="121"/>
      <c r="X73" t="s">
        <v>190</v>
      </c>
      <c r="Y73" s="12" t="s">
        <v>192</v>
      </c>
      <c r="Z73" s="11">
        <v>41</v>
      </c>
      <c r="AA73" t="s">
        <v>62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Q73" s="20" t="s">
        <v>1039</v>
      </c>
      <c r="DR73" s="118" t="s">
        <v>542</v>
      </c>
      <c r="DS73" s="134"/>
      <c r="DT73" s="20"/>
      <c r="DU73">
        <v>1</v>
      </c>
      <c r="DV73">
        <v>0</v>
      </c>
      <c r="DW73">
        <v>0</v>
      </c>
      <c r="DX73">
        <v>1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</v>
      </c>
      <c r="EJ73">
        <v>2</v>
      </c>
      <c r="EK73">
        <v>0</v>
      </c>
      <c r="EL73">
        <v>0</v>
      </c>
      <c r="EM73">
        <v>1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1</v>
      </c>
      <c r="FF73">
        <v>0</v>
      </c>
      <c r="FG73">
        <v>0</v>
      </c>
      <c r="FH73">
        <v>1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1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</row>
    <row r="74" spans="1:216" ht="45" x14ac:dyDescent="0.25">
      <c r="A74" s="121" t="s">
        <v>245</v>
      </c>
      <c r="B74" s="137" t="s">
        <v>36</v>
      </c>
      <c r="C74" s="138">
        <v>38</v>
      </c>
      <c r="D74" s="121" t="s">
        <v>557</v>
      </c>
      <c r="E74" s="139">
        <v>1</v>
      </c>
      <c r="F74" s="139">
        <v>1</v>
      </c>
      <c r="G74" s="139">
        <v>1</v>
      </c>
      <c r="H74" s="139">
        <v>0</v>
      </c>
      <c r="I74" s="139">
        <v>0</v>
      </c>
      <c r="J74" s="139">
        <v>0</v>
      </c>
      <c r="K74" s="139">
        <v>0</v>
      </c>
      <c r="L74" s="139">
        <v>0</v>
      </c>
      <c r="M74" s="139">
        <v>0</v>
      </c>
      <c r="N74" s="139">
        <v>0</v>
      </c>
      <c r="O74" s="139">
        <v>0</v>
      </c>
      <c r="P74" s="139">
        <v>0</v>
      </c>
      <c r="Q74" s="139">
        <v>0</v>
      </c>
      <c r="R74" s="139">
        <v>0</v>
      </c>
      <c r="S74" s="140">
        <f>SUM(E74:R74)</f>
        <v>3</v>
      </c>
      <c r="T74" s="121"/>
      <c r="U74" s="121"/>
      <c r="V74" s="121"/>
      <c r="X74" t="s">
        <v>220</v>
      </c>
      <c r="Y74" s="10" t="s">
        <v>385</v>
      </c>
      <c r="Z74" s="11">
        <v>42</v>
      </c>
      <c r="AA74" t="s">
        <v>576</v>
      </c>
      <c r="AB74">
        <v>1</v>
      </c>
      <c r="AC74">
        <v>1</v>
      </c>
      <c r="AD74">
        <v>0</v>
      </c>
      <c r="AE74">
        <v>1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1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1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Q74" t="s">
        <v>125</v>
      </c>
      <c r="DR74" s="10" t="s">
        <v>126</v>
      </c>
      <c r="DS74" s="11">
        <v>72</v>
      </c>
      <c r="DT74" t="s">
        <v>127</v>
      </c>
      <c r="DU74">
        <v>1</v>
      </c>
    </row>
    <row r="75" spans="1:216" s="20" customFormat="1" ht="75" x14ac:dyDescent="0.25">
      <c r="A75" s="119" t="s">
        <v>179</v>
      </c>
      <c r="B75" s="129" t="s">
        <v>684</v>
      </c>
      <c r="C75" s="135">
        <v>57</v>
      </c>
      <c r="D75" s="119" t="s">
        <v>48</v>
      </c>
      <c r="E75" s="130">
        <v>1</v>
      </c>
      <c r="F75" s="130">
        <v>1</v>
      </c>
      <c r="G75" s="130">
        <v>0</v>
      </c>
      <c r="H75" s="130">
        <v>0</v>
      </c>
      <c r="I75" s="130">
        <v>0</v>
      </c>
      <c r="J75" s="130">
        <v>0</v>
      </c>
      <c r="K75" s="130">
        <v>0</v>
      </c>
      <c r="L75" s="130">
        <v>1</v>
      </c>
      <c r="M75" s="130">
        <v>0</v>
      </c>
      <c r="N75" s="130">
        <v>0</v>
      </c>
      <c r="O75" s="130">
        <v>0</v>
      </c>
      <c r="P75" s="130">
        <v>0</v>
      </c>
      <c r="Q75" s="130">
        <v>0</v>
      </c>
      <c r="R75" s="130">
        <v>0</v>
      </c>
      <c r="S75" s="131">
        <f>SUM(E75:R75)</f>
        <v>3</v>
      </c>
      <c r="T75" s="119"/>
      <c r="U75" s="119"/>
      <c r="V75" s="119"/>
      <c r="W75"/>
      <c r="X75" t="s">
        <v>220</v>
      </c>
      <c r="Y75" s="10" t="s">
        <v>528</v>
      </c>
      <c r="Z75" s="11">
        <v>43</v>
      </c>
      <c r="AA75" t="s">
        <v>577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/>
      <c r="DP75"/>
      <c r="DQ75" t="s">
        <v>120</v>
      </c>
      <c r="DR75" s="10" t="s">
        <v>543</v>
      </c>
      <c r="DS75" s="11">
        <v>73</v>
      </c>
      <c r="DT75" t="s">
        <v>569</v>
      </c>
      <c r="DU75">
        <v>1</v>
      </c>
      <c r="DV75"/>
      <c r="DW75">
        <v>1</v>
      </c>
      <c r="DX75"/>
      <c r="DY75"/>
      <c r="DZ75"/>
      <c r="EA75"/>
      <c r="EB75"/>
      <c r="EC75"/>
      <c r="ED75"/>
      <c r="EE75"/>
      <c r="EF75"/>
      <c r="EG75"/>
      <c r="EH75"/>
      <c r="EI75">
        <v>1</v>
      </c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</row>
    <row r="76" spans="1:216" s="120" customFormat="1" ht="45" x14ac:dyDescent="0.25">
      <c r="A76" s="119" t="s">
        <v>182</v>
      </c>
      <c r="B76" s="129" t="s">
        <v>684</v>
      </c>
      <c r="C76" s="135">
        <v>57</v>
      </c>
      <c r="D76" s="119" t="s">
        <v>48</v>
      </c>
      <c r="E76" s="130">
        <v>1</v>
      </c>
      <c r="F76" s="130">
        <v>1</v>
      </c>
      <c r="G76" s="130">
        <v>0</v>
      </c>
      <c r="H76" s="130">
        <v>0</v>
      </c>
      <c r="I76" s="130">
        <v>0</v>
      </c>
      <c r="J76" s="130">
        <v>0</v>
      </c>
      <c r="K76" s="130">
        <v>0</v>
      </c>
      <c r="L76" s="130">
        <v>1</v>
      </c>
      <c r="M76" s="130">
        <v>0</v>
      </c>
      <c r="N76" s="130">
        <v>0</v>
      </c>
      <c r="O76" s="130">
        <v>0</v>
      </c>
      <c r="P76" s="130">
        <v>0</v>
      </c>
      <c r="Q76" s="130">
        <v>0</v>
      </c>
      <c r="R76" s="130">
        <v>0</v>
      </c>
      <c r="S76" s="131">
        <f>SUM(E76:R76)</f>
        <v>3</v>
      </c>
      <c r="T76" s="119"/>
      <c r="U76" s="119"/>
      <c r="V76" s="119"/>
      <c r="W76"/>
      <c r="X76" t="s">
        <v>210</v>
      </c>
      <c r="Y76" s="12" t="s">
        <v>527</v>
      </c>
      <c r="Z76" s="11">
        <v>44</v>
      </c>
      <c r="AA76" t="s">
        <v>127</v>
      </c>
      <c r="AB76">
        <v>1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/>
      <c r="DP76"/>
      <c r="DQ76" t="s">
        <v>45</v>
      </c>
      <c r="DR76" s="10" t="s">
        <v>544</v>
      </c>
      <c r="DS76" s="11">
        <v>74</v>
      </c>
      <c r="DT76" t="s">
        <v>48</v>
      </c>
      <c r="DU76">
        <v>1</v>
      </c>
      <c r="DV76"/>
      <c r="DW76"/>
      <c r="DX76"/>
      <c r="DY76"/>
      <c r="DZ76">
        <v>1</v>
      </c>
      <c r="EA76"/>
      <c r="EB76"/>
      <c r="EC76"/>
      <c r="ED76"/>
      <c r="EE76"/>
      <c r="EF76"/>
      <c r="EG76"/>
      <c r="EH76"/>
      <c r="EI76"/>
      <c r="EJ76"/>
      <c r="EK76"/>
      <c r="EL76"/>
      <c r="EM76">
        <v>1</v>
      </c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</row>
    <row r="77" spans="1:216" s="121" customFormat="1" ht="75" x14ac:dyDescent="0.25">
      <c r="A77" t="s">
        <v>85</v>
      </c>
      <c r="B77" s="10" t="s">
        <v>686</v>
      </c>
      <c r="C77" s="11">
        <v>60</v>
      </c>
      <c r="D77" t="s">
        <v>48</v>
      </c>
      <c r="E77" s="9">
        <v>1</v>
      </c>
      <c r="F77" s="9">
        <v>1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1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6">
        <f>SUM(E77:R77)</f>
        <v>3</v>
      </c>
      <c r="T77"/>
      <c r="U77"/>
      <c r="V77"/>
      <c r="W77"/>
      <c r="X77" t="s">
        <v>136</v>
      </c>
      <c r="Y77" s="12" t="s">
        <v>529</v>
      </c>
      <c r="Z77" s="11">
        <v>45</v>
      </c>
      <c r="AA77" t="s">
        <v>595</v>
      </c>
      <c r="AB77">
        <v>1</v>
      </c>
      <c r="AC77">
        <v>1</v>
      </c>
      <c r="AD77">
        <v>1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1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</v>
      </c>
      <c r="BB77">
        <v>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1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/>
      <c r="DP77"/>
      <c r="DQ77" t="s">
        <v>16</v>
      </c>
      <c r="DR77" s="10" t="s">
        <v>545</v>
      </c>
      <c r="DS77" s="11">
        <v>75</v>
      </c>
      <c r="DT77" t="s">
        <v>596</v>
      </c>
      <c r="DU77">
        <v>1</v>
      </c>
      <c r="DV77"/>
      <c r="DW77"/>
      <c r="DX77"/>
      <c r="DY77"/>
      <c r="DZ77"/>
      <c r="EA77"/>
      <c r="EB77"/>
      <c r="EC77"/>
      <c r="ED77"/>
      <c r="EE77">
        <v>1</v>
      </c>
      <c r="EF77"/>
      <c r="EG77"/>
      <c r="EH77"/>
      <c r="EI77"/>
      <c r="EJ77"/>
      <c r="EK77"/>
      <c r="EL77"/>
      <c r="EM77"/>
      <c r="EN77"/>
      <c r="EO77"/>
      <c r="EP77"/>
      <c r="EQ77">
        <v>1</v>
      </c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</row>
    <row r="78" spans="1:216" s="20" customFormat="1" ht="60" x14ac:dyDescent="0.25">
      <c r="A78" s="119" t="s">
        <v>85</v>
      </c>
      <c r="B78" s="129" t="s">
        <v>687</v>
      </c>
      <c r="C78" s="135">
        <v>61</v>
      </c>
      <c r="D78" s="119" t="s">
        <v>48</v>
      </c>
      <c r="E78" s="130">
        <v>1</v>
      </c>
      <c r="F78" s="130">
        <v>1</v>
      </c>
      <c r="G78" s="130">
        <v>0</v>
      </c>
      <c r="H78" s="130">
        <v>0</v>
      </c>
      <c r="I78" s="130">
        <v>0</v>
      </c>
      <c r="J78" s="130">
        <v>0</v>
      </c>
      <c r="K78" s="130">
        <v>0</v>
      </c>
      <c r="L78" s="130">
        <v>1</v>
      </c>
      <c r="M78" s="130">
        <v>0</v>
      </c>
      <c r="N78" s="130">
        <v>0</v>
      </c>
      <c r="O78" s="130">
        <v>0</v>
      </c>
      <c r="P78" s="130">
        <v>0</v>
      </c>
      <c r="Q78" s="130">
        <v>0</v>
      </c>
      <c r="R78" s="130">
        <v>0</v>
      </c>
      <c r="S78" s="131">
        <f>SUM(E78:R78)</f>
        <v>3</v>
      </c>
      <c r="T78" s="119"/>
      <c r="U78" s="119"/>
      <c r="V78" s="119"/>
      <c r="W78"/>
      <c r="X78" t="s">
        <v>136</v>
      </c>
      <c r="Y78" s="12" t="s">
        <v>530</v>
      </c>
      <c r="Z78" s="11">
        <v>46</v>
      </c>
      <c r="AA78" t="s">
        <v>595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/>
      <c r="DP78"/>
      <c r="DQ78" t="s">
        <v>16</v>
      </c>
      <c r="DR78" s="10" t="s">
        <v>546</v>
      </c>
      <c r="DS78" s="11">
        <v>76</v>
      </c>
      <c r="DT78" t="s">
        <v>596</v>
      </c>
      <c r="DU78">
        <v>1</v>
      </c>
      <c r="DV78"/>
      <c r="DW78"/>
      <c r="DX78"/>
      <c r="DY78"/>
      <c r="DZ78"/>
      <c r="EA78"/>
      <c r="EB78"/>
      <c r="EC78"/>
      <c r="ED78"/>
      <c r="EE78">
        <v>1</v>
      </c>
      <c r="EF78"/>
      <c r="EG78"/>
      <c r="EH78"/>
      <c r="EI78"/>
      <c r="EJ78"/>
      <c r="EK78"/>
      <c r="EL78"/>
      <c r="EM78"/>
      <c r="EN78"/>
      <c r="EO78"/>
      <c r="EP78"/>
      <c r="EQ78">
        <v>1</v>
      </c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</row>
    <row r="79" spans="1:216" ht="45" x14ac:dyDescent="0.25">
      <c r="A79" t="s">
        <v>68</v>
      </c>
      <c r="B79" s="10" t="s">
        <v>690</v>
      </c>
      <c r="C79" s="11">
        <v>64</v>
      </c>
      <c r="D79" t="s">
        <v>679</v>
      </c>
      <c r="E79" s="9">
        <v>1</v>
      </c>
      <c r="F79" s="9">
        <v>1</v>
      </c>
      <c r="G79" s="9">
        <v>0</v>
      </c>
      <c r="H79" s="9">
        <v>1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6">
        <f>SUM(E79:R79)</f>
        <v>3</v>
      </c>
      <c r="X79" t="s">
        <v>136</v>
      </c>
      <c r="Y79" s="10" t="s">
        <v>531</v>
      </c>
      <c r="Z79" s="11">
        <v>47</v>
      </c>
      <c r="AA79" t="s">
        <v>594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Q79" t="s">
        <v>16</v>
      </c>
      <c r="DR79" s="10" t="s">
        <v>547</v>
      </c>
      <c r="DS79" s="11">
        <v>77</v>
      </c>
      <c r="DT79" t="s">
        <v>596</v>
      </c>
      <c r="DU79">
        <v>1</v>
      </c>
      <c r="EE79">
        <v>1</v>
      </c>
      <c r="EQ79">
        <v>1</v>
      </c>
    </row>
    <row r="80" spans="1:216" s="122" customFormat="1" ht="75" x14ac:dyDescent="0.25">
      <c r="A80" s="20" t="s">
        <v>171</v>
      </c>
      <c r="B80" s="118" t="s">
        <v>682</v>
      </c>
      <c r="C80" s="134">
        <v>65</v>
      </c>
      <c r="D80" s="20" t="s">
        <v>569</v>
      </c>
      <c r="E80" s="124">
        <v>1</v>
      </c>
      <c r="F80" s="124">
        <v>1</v>
      </c>
      <c r="G80" s="124">
        <v>0</v>
      </c>
      <c r="H80" s="124">
        <v>1</v>
      </c>
      <c r="I80" s="124">
        <v>0</v>
      </c>
      <c r="J80" s="124">
        <v>0</v>
      </c>
      <c r="K80" s="124">
        <v>0</v>
      </c>
      <c r="L80" s="124">
        <v>0</v>
      </c>
      <c r="M80" s="124">
        <v>0</v>
      </c>
      <c r="N80" s="124">
        <v>0</v>
      </c>
      <c r="O80" s="124">
        <v>0</v>
      </c>
      <c r="P80" s="124">
        <v>0</v>
      </c>
      <c r="Q80" s="124">
        <v>0</v>
      </c>
      <c r="R80" s="124">
        <v>0</v>
      </c>
      <c r="S80" s="125">
        <f>SUM(E80:R80)</f>
        <v>3</v>
      </c>
      <c r="T80" s="20"/>
      <c r="U80" s="20"/>
      <c r="V80" s="20"/>
      <c r="W80"/>
      <c r="X80" t="s">
        <v>163</v>
      </c>
      <c r="Y80" s="10" t="s">
        <v>532</v>
      </c>
      <c r="Z80" s="11">
        <v>48</v>
      </c>
      <c r="AA80" t="s">
        <v>165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/>
      <c r="DP80"/>
      <c r="DQ80" t="s">
        <v>215</v>
      </c>
      <c r="DR80" s="10" t="s">
        <v>548</v>
      </c>
      <c r="DS80" s="11">
        <v>78</v>
      </c>
      <c r="DT80" t="s">
        <v>127</v>
      </c>
      <c r="DU80">
        <v>1</v>
      </c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</row>
    <row r="81" spans="1:216" s="120" customFormat="1" ht="45" x14ac:dyDescent="0.25">
      <c r="A81" t="s">
        <v>207</v>
      </c>
      <c r="B81" s="10" t="s">
        <v>538</v>
      </c>
      <c r="C81" s="11">
        <v>66</v>
      </c>
      <c r="D81" t="s">
        <v>557</v>
      </c>
      <c r="E81" s="9">
        <v>1</v>
      </c>
      <c r="F81" s="9">
        <v>1</v>
      </c>
      <c r="G81" s="9">
        <v>1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6">
        <f>SUM(E81:R81)</f>
        <v>3</v>
      </c>
      <c r="T81"/>
      <c r="U81"/>
      <c r="V81"/>
      <c r="W81"/>
      <c r="X81" t="s">
        <v>163</v>
      </c>
      <c r="Y81" s="10" t="s">
        <v>533</v>
      </c>
      <c r="Z81" s="11">
        <v>49</v>
      </c>
      <c r="AA81" t="s">
        <v>165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</v>
      </c>
      <c r="AU81">
        <v>1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1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/>
      <c r="DP81"/>
      <c r="DQ81" t="s">
        <v>1040</v>
      </c>
      <c r="DR81" s="118" t="s">
        <v>356</v>
      </c>
      <c r="DS81" s="134"/>
      <c r="DT81" s="20"/>
      <c r="DU81">
        <v>0</v>
      </c>
      <c r="DV81">
        <v>1</v>
      </c>
      <c r="DW81">
        <v>0</v>
      </c>
      <c r="DX81">
        <v>0</v>
      </c>
      <c r="DY81">
        <v>0</v>
      </c>
      <c r="DZ81">
        <v>0</v>
      </c>
      <c r="EA81">
        <v>1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1</v>
      </c>
      <c r="EJ81">
        <v>1</v>
      </c>
      <c r="EK81">
        <v>0</v>
      </c>
      <c r="EL81">
        <v>0</v>
      </c>
      <c r="EM81">
        <v>1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1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1</v>
      </c>
      <c r="FF81">
        <v>0</v>
      </c>
      <c r="FG81">
        <v>0</v>
      </c>
      <c r="FH81">
        <v>1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1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/>
    </row>
    <row r="82" spans="1:216" s="122" customFormat="1" ht="45" x14ac:dyDescent="0.25">
      <c r="A82" t="s">
        <v>207</v>
      </c>
      <c r="B82" s="10" t="s">
        <v>539</v>
      </c>
      <c r="C82" s="11">
        <v>67</v>
      </c>
      <c r="D82" t="s">
        <v>557</v>
      </c>
      <c r="E82" s="9">
        <v>1</v>
      </c>
      <c r="F82" s="9">
        <v>1</v>
      </c>
      <c r="G82" s="9">
        <v>1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0</v>
      </c>
      <c r="Q82" s="9">
        <v>0</v>
      </c>
      <c r="R82" s="9">
        <v>0</v>
      </c>
      <c r="S82" s="6">
        <f>SUM(E82:R82)</f>
        <v>3</v>
      </c>
      <c r="T82"/>
      <c r="U82"/>
      <c r="V82"/>
      <c r="W82"/>
      <c r="X82" t="s">
        <v>163</v>
      </c>
      <c r="Y82" s="10" t="s">
        <v>534</v>
      </c>
      <c r="Z82" s="11">
        <v>50</v>
      </c>
      <c r="AA82" t="s">
        <v>165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/>
      <c r="DP82"/>
      <c r="DQ82" t="s">
        <v>27</v>
      </c>
      <c r="DR82" s="10" t="s">
        <v>29</v>
      </c>
      <c r="DS82" s="11">
        <v>80</v>
      </c>
      <c r="DT82" t="s">
        <v>30</v>
      </c>
      <c r="DU82"/>
      <c r="DV82"/>
      <c r="DW82"/>
      <c r="DX82"/>
      <c r="DY82"/>
      <c r="DZ82"/>
      <c r="EA82"/>
      <c r="EB82"/>
      <c r="EC82"/>
      <c r="ED82"/>
      <c r="EE82"/>
      <c r="EF82"/>
      <c r="EG82">
        <v>1</v>
      </c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</row>
    <row r="83" spans="1:216" s="121" customFormat="1" ht="45" x14ac:dyDescent="0.25">
      <c r="A83" t="s">
        <v>16</v>
      </c>
      <c r="B83" s="10" t="s">
        <v>540</v>
      </c>
      <c r="C83" s="11">
        <v>68</v>
      </c>
      <c r="D83" t="s">
        <v>596</v>
      </c>
      <c r="E83" s="9">
        <v>1</v>
      </c>
      <c r="F83" s="9">
        <v>1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1</v>
      </c>
      <c r="Q83" s="9">
        <v>0</v>
      </c>
      <c r="R83" s="9">
        <v>0</v>
      </c>
      <c r="S83" s="6">
        <f>SUM(E83:R83)</f>
        <v>3</v>
      </c>
      <c r="T83"/>
      <c r="U83"/>
      <c r="V83"/>
      <c r="W83"/>
      <c r="X83" t="s">
        <v>4</v>
      </c>
      <c r="Y83" s="10" t="s">
        <v>581</v>
      </c>
      <c r="Z83" s="11">
        <v>51</v>
      </c>
      <c r="AA83" t="s">
        <v>580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/>
      <c r="DP83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</row>
    <row r="84" spans="1:216" s="121" customFormat="1" ht="60" x14ac:dyDescent="0.25">
      <c r="A84" s="160" t="s">
        <v>239</v>
      </c>
      <c r="B84" s="161" t="s">
        <v>542</v>
      </c>
      <c r="C84" s="162">
        <v>71</v>
      </c>
      <c r="D84" s="160" t="s">
        <v>241</v>
      </c>
      <c r="E84" s="163">
        <v>1</v>
      </c>
      <c r="F84" s="163">
        <v>1</v>
      </c>
      <c r="G84" s="163">
        <v>0</v>
      </c>
      <c r="H84" s="163">
        <v>0</v>
      </c>
      <c r="I84" s="163">
        <v>1</v>
      </c>
      <c r="J84" s="163">
        <v>0</v>
      </c>
      <c r="K84" s="163">
        <v>0</v>
      </c>
      <c r="L84" s="163">
        <v>0</v>
      </c>
      <c r="M84" s="163">
        <v>0</v>
      </c>
      <c r="N84" s="163">
        <v>0</v>
      </c>
      <c r="O84" s="163">
        <v>0</v>
      </c>
      <c r="P84" s="163">
        <v>0</v>
      </c>
      <c r="Q84" s="163">
        <v>0</v>
      </c>
      <c r="R84" s="163">
        <v>0</v>
      </c>
      <c r="S84" s="125">
        <f>SUM(E84:R84)</f>
        <v>3</v>
      </c>
      <c r="T84" s="160"/>
      <c r="U84" s="160"/>
      <c r="V84" s="160"/>
      <c r="W84"/>
      <c r="X84" t="s">
        <v>4</v>
      </c>
      <c r="Y84" s="10" t="s">
        <v>582</v>
      </c>
      <c r="Z84" s="11">
        <v>52</v>
      </c>
      <c r="AA84" t="s">
        <v>580</v>
      </c>
      <c r="AB84">
        <v>1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/>
      <c r="DP84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</row>
    <row r="85" spans="1:216" s="122" customFormat="1" ht="90" x14ac:dyDescent="0.25">
      <c r="A85" t="s">
        <v>120</v>
      </c>
      <c r="B85" s="10" t="s">
        <v>543</v>
      </c>
      <c r="C85" s="11">
        <v>73</v>
      </c>
      <c r="D85" t="s">
        <v>569</v>
      </c>
      <c r="E85" s="9">
        <v>1</v>
      </c>
      <c r="F85" s="9">
        <v>1</v>
      </c>
      <c r="G85" s="9">
        <v>0</v>
      </c>
      <c r="H85" s="9">
        <v>1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6">
        <f>SUM(E85:R85)</f>
        <v>3</v>
      </c>
      <c r="T85"/>
      <c r="U85"/>
      <c r="V85"/>
      <c r="W85"/>
      <c r="X85" t="s">
        <v>163</v>
      </c>
      <c r="Y85" s="10" t="s">
        <v>535</v>
      </c>
      <c r="Z85" s="11">
        <v>53</v>
      </c>
      <c r="AA85" t="s">
        <v>165</v>
      </c>
      <c r="AB85">
        <v>1</v>
      </c>
      <c r="AC85">
        <v>0</v>
      </c>
      <c r="AD85">
        <v>0</v>
      </c>
      <c r="AE85">
        <v>1</v>
      </c>
      <c r="AF85">
        <v>1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</v>
      </c>
      <c r="AR85">
        <v>1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1</v>
      </c>
      <c r="BW85">
        <v>0</v>
      </c>
      <c r="BX85">
        <v>0</v>
      </c>
      <c r="BY85">
        <v>1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/>
      <c r="DP85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</row>
    <row r="86" spans="1:216" s="20" customFormat="1" ht="60" x14ac:dyDescent="0.25">
      <c r="A86" t="s">
        <v>45</v>
      </c>
      <c r="B86" s="10" t="s">
        <v>544</v>
      </c>
      <c r="C86" s="11">
        <v>74</v>
      </c>
      <c r="D86" t="s">
        <v>48</v>
      </c>
      <c r="E86" s="9">
        <v>1</v>
      </c>
      <c r="F86" s="9">
        <v>1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1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6">
        <f>SUM(E86:R86)</f>
        <v>3</v>
      </c>
      <c r="T86"/>
      <c r="U86"/>
      <c r="V86"/>
      <c r="W86"/>
      <c r="X86" t="s">
        <v>136</v>
      </c>
      <c r="Y86" s="12" t="s">
        <v>536</v>
      </c>
      <c r="Z86" s="11">
        <v>54</v>
      </c>
      <c r="AA86" t="s">
        <v>594</v>
      </c>
      <c r="AB86">
        <v>1</v>
      </c>
      <c r="AC86">
        <v>1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1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/>
      <c r="DP86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</row>
    <row r="87" spans="1:216" s="121" customFormat="1" ht="90" x14ac:dyDescent="0.25">
      <c r="A87" t="s">
        <v>16</v>
      </c>
      <c r="B87" s="10" t="s">
        <v>545</v>
      </c>
      <c r="C87" s="11">
        <v>75</v>
      </c>
      <c r="D87" t="s">
        <v>596</v>
      </c>
      <c r="E87" s="9">
        <v>1</v>
      </c>
      <c r="F87" s="9">
        <v>1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1</v>
      </c>
      <c r="Q87" s="9">
        <v>0</v>
      </c>
      <c r="R87" s="9">
        <v>0</v>
      </c>
      <c r="S87" s="6">
        <f>SUM(E87:R87)</f>
        <v>3</v>
      </c>
      <c r="T87"/>
      <c r="U87"/>
      <c r="V87"/>
      <c r="W87"/>
      <c r="X87" t="s">
        <v>136</v>
      </c>
      <c r="Y87" s="12" t="s">
        <v>537</v>
      </c>
      <c r="Z87" s="11">
        <v>55</v>
      </c>
      <c r="AA87" t="s">
        <v>595</v>
      </c>
      <c r="AB87">
        <v>1</v>
      </c>
      <c r="AC87">
        <v>1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1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/>
      <c r="DP87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</row>
    <row r="88" spans="1:216" ht="60" x14ac:dyDescent="0.25">
      <c r="A88" t="s">
        <v>16</v>
      </c>
      <c r="B88" s="10" t="s">
        <v>546</v>
      </c>
      <c r="C88" s="11">
        <v>76</v>
      </c>
      <c r="D88" t="s">
        <v>596</v>
      </c>
      <c r="E88" s="9">
        <v>1</v>
      </c>
      <c r="F88" s="9">
        <v>1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1</v>
      </c>
      <c r="Q88" s="9">
        <v>0</v>
      </c>
      <c r="R88" s="9">
        <v>0</v>
      </c>
      <c r="S88" s="6">
        <f>SUM(E88:R88)</f>
        <v>3</v>
      </c>
      <c r="X88" t="s">
        <v>176</v>
      </c>
      <c r="Y88" s="10" t="s">
        <v>681</v>
      </c>
      <c r="Z88" s="11">
        <v>56</v>
      </c>
      <c r="AA88" t="s">
        <v>558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</row>
    <row r="89" spans="1:216" s="119" customFormat="1" ht="60" x14ac:dyDescent="0.25">
      <c r="A89" t="s">
        <v>16</v>
      </c>
      <c r="B89" s="10" t="s">
        <v>547</v>
      </c>
      <c r="C89" s="11">
        <v>77</v>
      </c>
      <c r="D89" t="s">
        <v>596</v>
      </c>
      <c r="E89" s="9">
        <v>1</v>
      </c>
      <c r="F89" s="9">
        <v>1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1</v>
      </c>
      <c r="Q89" s="9">
        <v>0</v>
      </c>
      <c r="R89" s="9">
        <v>0</v>
      </c>
      <c r="S89" s="6">
        <f>SUM(E89:R89)</f>
        <v>3</v>
      </c>
      <c r="T89"/>
      <c r="U89"/>
      <c r="V89"/>
      <c r="X89" s="119" t="s">
        <v>179</v>
      </c>
      <c r="Y89" s="129" t="s">
        <v>684</v>
      </c>
      <c r="Z89" s="135">
        <v>57</v>
      </c>
      <c r="AA89" s="119" t="s">
        <v>48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/>
      <c r="DP89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</row>
    <row r="90" spans="1:216" s="119" customFormat="1" ht="60" x14ac:dyDescent="0.25">
      <c r="A90" s="20" t="s">
        <v>156</v>
      </c>
      <c r="B90" s="118" t="s">
        <v>356</v>
      </c>
      <c r="C90" s="134">
        <v>79</v>
      </c>
      <c r="D90" s="20" t="s">
        <v>157</v>
      </c>
      <c r="E90" s="124">
        <v>1</v>
      </c>
      <c r="F90" s="124">
        <v>0</v>
      </c>
      <c r="G90" s="124">
        <v>1</v>
      </c>
      <c r="H90" s="124">
        <v>0</v>
      </c>
      <c r="I90" s="124">
        <v>0</v>
      </c>
      <c r="J90" s="124">
        <v>0</v>
      </c>
      <c r="K90" s="124">
        <v>0</v>
      </c>
      <c r="L90" s="124">
        <v>1</v>
      </c>
      <c r="M90" s="124">
        <v>0</v>
      </c>
      <c r="N90" s="124">
        <v>0</v>
      </c>
      <c r="O90" s="124">
        <v>0</v>
      </c>
      <c r="P90" s="124">
        <v>0</v>
      </c>
      <c r="Q90" s="124">
        <v>0</v>
      </c>
      <c r="R90" s="124">
        <v>0</v>
      </c>
      <c r="S90" s="125">
        <f>SUM(E90:R90)</f>
        <v>3</v>
      </c>
      <c r="T90" s="20"/>
      <c r="U90" s="20"/>
      <c r="V90" s="20"/>
      <c r="X90" s="119" t="s">
        <v>182</v>
      </c>
      <c r="Y90" s="129" t="s">
        <v>684</v>
      </c>
      <c r="Z90" s="135">
        <v>57</v>
      </c>
      <c r="AA90" s="119" t="s">
        <v>48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/>
      <c r="DP90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</row>
    <row r="91" spans="1:216" s="119" customFormat="1" ht="60" x14ac:dyDescent="0.25">
      <c r="A91" s="119" t="s">
        <v>114</v>
      </c>
      <c r="B91" s="132" t="s">
        <v>97</v>
      </c>
      <c r="C91" s="135">
        <v>5</v>
      </c>
      <c r="D91" s="119" t="s">
        <v>564</v>
      </c>
      <c r="E91" s="130">
        <v>1</v>
      </c>
      <c r="F91" s="130">
        <v>0</v>
      </c>
      <c r="G91" s="130">
        <v>0</v>
      </c>
      <c r="H91" s="130">
        <v>0</v>
      </c>
      <c r="I91" s="130">
        <v>0</v>
      </c>
      <c r="J91" s="130">
        <v>0</v>
      </c>
      <c r="K91" s="130">
        <v>0</v>
      </c>
      <c r="L91" s="130">
        <v>0</v>
      </c>
      <c r="M91" s="130">
        <v>1</v>
      </c>
      <c r="N91" s="130">
        <v>0</v>
      </c>
      <c r="O91" s="130">
        <v>0</v>
      </c>
      <c r="P91" s="130">
        <v>0</v>
      </c>
      <c r="Q91" s="130">
        <v>0</v>
      </c>
      <c r="R91" s="130">
        <v>0</v>
      </c>
      <c r="S91" s="131">
        <f>SUM(E91:R91)</f>
        <v>2</v>
      </c>
      <c r="X91" s="119" t="s">
        <v>226</v>
      </c>
      <c r="Y91" s="129" t="s">
        <v>684</v>
      </c>
      <c r="Z91" s="135">
        <v>57</v>
      </c>
      <c r="AA91" s="119" t="s">
        <v>228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/>
      <c r="DP91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</row>
    <row r="92" spans="1:216" s="122" customFormat="1" ht="75" x14ac:dyDescent="0.25">
      <c r="A92" t="s">
        <v>148</v>
      </c>
      <c r="B92" s="10" t="s">
        <v>515</v>
      </c>
      <c r="C92" s="11">
        <v>7</v>
      </c>
      <c r="D92" t="s">
        <v>724</v>
      </c>
      <c r="E92" s="9">
        <v>1</v>
      </c>
      <c r="F92" s="9">
        <v>1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9">
        <v>0</v>
      </c>
      <c r="S92" s="6">
        <f>SUM(E92:R92)</f>
        <v>2</v>
      </c>
      <c r="T92"/>
      <c r="U92"/>
      <c r="V92"/>
      <c r="W92"/>
      <c r="X92" t="s">
        <v>236</v>
      </c>
      <c r="Y92" s="10" t="s">
        <v>685</v>
      </c>
      <c r="Z92" s="11">
        <v>58</v>
      </c>
      <c r="AA92" t="s">
        <v>573</v>
      </c>
      <c r="AB92">
        <v>1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/>
      <c r="DP9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</row>
    <row r="93" spans="1:216" s="122" customFormat="1" ht="75" x14ac:dyDescent="0.25">
      <c r="A93" t="s">
        <v>128</v>
      </c>
      <c r="B93" s="10" t="s">
        <v>516</v>
      </c>
      <c r="C93" s="11">
        <v>8</v>
      </c>
      <c r="D93" t="s">
        <v>161</v>
      </c>
      <c r="E93" s="9">
        <v>1</v>
      </c>
      <c r="F93" s="9">
        <v>0</v>
      </c>
      <c r="G93" s="9">
        <v>1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9">
        <v>0</v>
      </c>
      <c r="S93" s="6">
        <f>SUM(E93:R93)</f>
        <v>2</v>
      </c>
      <c r="T93"/>
      <c r="U93"/>
      <c r="V93"/>
      <c r="W93"/>
      <c r="X93" t="s">
        <v>160</v>
      </c>
      <c r="Y93" s="10" t="s">
        <v>683</v>
      </c>
      <c r="Z93" s="11">
        <v>59</v>
      </c>
      <c r="AA93" t="s">
        <v>161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/>
      <c r="DP93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</row>
    <row r="94" spans="1:216" s="122" customFormat="1" ht="60" x14ac:dyDescent="0.25">
      <c r="A94" t="s">
        <v>185</v>
      </c>
      <c r="B94" s="12" t="s">
        <v>517</v>
      </c>
      <c r="C94" s="11">
        <v>11</v>
      </c>
      <c r="D94" t="s">
        <v>127</v>
      </c>
      <c r="E94" s="9">
        <v>1</v>
      </c>
      <c r="F94" s="9">
        <v>1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6">
        <f>SUM(E94:R94)</f>
        <v>2</v>
      </c>
      <c r="T94" t="s">
        <v>728</v>
      </c>
      <c r="U94"/>
      <c r="V94"/>
      <c r="W94"/>
      <c r="X94" t="s">
        <v>85</v>
      </c>
      <c r="Y94" s="10" t="s">
        <v>686</v>
      </c>
      <c r="Z94" s="11">
        <v>60</v>
      </c>
      <c r="AA94" t="s">
        <v>48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/>
      <c r="DP94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</row>
    <row r="95" spans="1:216" s="119" customFormat="1" ht="60" x14ac:dyDescent="0.25">
      <c r="A95" t="s">
        <v>123</v>
      </c>
      <c r="B95" s="10" t="s">
        <v>518</v>
      </c>
      <c r="C95" s="11">
        <v>12</v>
      </c>
      <c r="D95" t="s">
        <v>564</v>
      </c>
      <c r="E95" s="9">
        <v>1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1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6">
        <f>SUM(E95:R95)</f>
        <v>2</v>
      </c>
      <c r="T95"/>
      <c r="U95"/>
      <c r="V95"/>
      <c r="X95" s="119" t="s">
        <v>85</v>
      </c>
      <c r="Y95" s="129" t="s">
        <v>687</v>
      </c>
      <c r="Z95" s="135">
        <v>61</v>
      </c>
      <c r="AA95" s="119" t="s">
        <v>48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/>
      <c r="DP95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</row>
    <row r="96" spans="1:216" s="119" customFormat="1" ht="60" x14ac:dyDescent="0.25">
      <c r="A96" t="s">
        <v>175</v>
      </c>
      <c r="B96" s="12" t="s">
        <v>519</v>
      </c>
      <c r="C96" s="11">
        <v>13</v>
      </c>
      <c r="D96" t="s">
        <v>127</v>
      </c>
      <c r="E96" s="9">
        <v>1</v>
      </c>
      <c r="F96" s="9">
        <v>1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6">
        <f>SUM(E96:R96)</f>
        <v>2</v>
      </c>
      <c r="T96"/>
      <c r="U96"/>
      <c r="V96"/>
      <c r="X96" s="119" t="s">
        <v>259</v>
      </c>
      <c r="Y96" s="129" t="s">
        <v>687</v>
      </c>
      <c r="Z96" s="135">
        <v>61</v>
      </c>
      <c r="AA96" s="119" t="s">
        <v>736</v>
      </c>
      <c r="AB96">
        <v>1</v>
      </c>
      <c r="AC96">
        <v>1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1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/>
      <c r="DP96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</row>
    <row r="97" spans="1:216" s="119" customFormat="1" ht="60" x14ac:dyDescent="0.25">
      <c r="A97" s="121" t="s">
        <v>99</v>
      </c>
      <c r="B97" s="137" t="s">
        <v>89</v>
      </c>
      <c r="C97" s="138">
        <v>15</v>
      </c>
      <c r="D97" s="141" t="s">
        <v>680</v>
      </c>
      <c r="E97" s="139">
        <v>1</v>
      </c>
      <c r="F97" s="139">
        <v>1</v>
      </c>
      <c r="G97" s="139">
        <v>0</v>
      </c>
      <c r="H97" s="139">
        <v>0</v>
      </c>
      <c r="I97" s="139">
        <v>0</v>
      </c>
      <c r="J97" s="139">
        <v>0</v>
      </c>
      <c r="K97" s="139">
        <v>0</v>
      </c>
      <c r="L97" s="139">
        <v>0</v>
      </c>
      <c r="M97" s="139">
        <v>0</v>
      </c>
      <c r="N97" s="139">
        <v>0</v>
      </c>
      <c r="O97" s="139">
        <v>0</v>
      </c>
      <c r="P97" s="139">
        <v>0</v>
      </c>
      <c r="Q97" s="139">
        <v>0</v>
      </c>
      <c r="R97" s="139">
        <v>0</v>
      </c>
      <c r="S97" s="140">
        <f>SUM(E97:R97)</f>
        <v>2</v>
      </c>
      <c r="T97" s="121"/>
      <c r="U97" s="121" t="s">
        <v>732</v>
      </c>
      <c r="V97" s="121"/>
      <c r="X97" s="119" t="s">
        <v>189</v>
      </c>
      <c r="Y97" s="129" t="s">
        <v>687</v>
      </c>
      <c r="Z97" s="135">
        <v>61</v>
      </c>
      <c r="AA97" s="119" t="s">
        <v>584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1</v>
      </c>
      <c r="AQ97">
        <v>1</v>
      </c>
      <c r="AR97">
        <v>1</v>
      </c>
      <c r="AS97">
        <v>0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1</v>
      </c>
      <c r="BC97">
        <v>1</v>
      </c>
      <c r="BD97">
        <v>0</v>
      </c>
      <c r="BE97">
        <v>0</v>
      </c>
      <c r="BF97">
        <v>0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1</v>
      </c>
      <c r="BM97">
        <v>1</v>
      </c>
      <c r="BN97">
        <v>0</v>
      </c>
      <c r="BO97">
        <v>0</v>
      </c>
      <c r="BP97">
        <v>0</v>
      </c>
      <c r="BQ97">
        <v>1</v>
      </c>
      <c r="BR97">
        <v>0</v>
      </c>
      <c r="BS97">
        <v>0</v>
      </c>
      <c r="BT97">
        <v>0</v>
      </c>
      <c r="BU97">
        <v>0</v>
      </c>
      <c r="BV97">
        <v>1</v>
      </c>
      <c r="BW97">
        <v>0</v>
      </c>
      <c r="BX97">
        <v>0</v>
      </c>
      <c r="BY97">
        <v>0</v>
      </c>
      <c r="BZ97">
        <v>1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1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/>
      <c r="DP97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</row>
    <row r="98" spans="1:216" s="122" customFormat="1" ht="60" x14ac:dyDescent="0.25">
      <c r="A98" s="20" t="s">
        <v>168</v>
      </c>
      <c r="B98" s="123" t="s">
        <v>430</v>
      </c>
      <c r="C98" s="134">
        <v>19</v>
      </c>
      <c r="D98" s="20" t="s">
        <v>154</v>
      </c>
      <c r="E98" s="124">
        <v>1</v>
      </c>
      <c r="F98" s="124">
        <v>0</v>
      </c>
      <c r="G98" s="124">
        <v>0</v>
      </c>
      <c r="H98" s="124">
        <v>0</v>
      </c>
      <c r="I98" s="124">
        <v>0</v>
      </c>
      <c r="J98" s="124">
        <v>0</v>
      </c>
      <c r="K98" s="124">
        <v>1</v>
      </c>
      <c r="L98" s="124">
        <v>0</v>
      </c>
      <c r="M98" s="124">
        <v>0</v>
      </c>
      <c r="N98" s="124">
        <v>0</v>
      </c>
      <c r="O98" s="124">
        <v>0</v>
      </c>
      <c r="P98" s="124">
        <v>0</v>
      </c>
      <c r="Q98" s="124">
        <v>0</v>
      </c>
      <c r="R98" s="124">
        <v>0</v>
      </c>
      <c r="S98" s="125">
        <f>SUM(E98:R98)</f>
        <v>2</v>
      </c>
      <c r="T98" s="20"/>
      <c r="U98" s="20"/>
      <c r="V98" s="20"/>
      <c r="W98"/>
      <c r="X98" t="s">
        <v>215</v>
      </c>
      <c r="Y98" s="10" t="s">
        <v>688</v>
      </c>
      <c r="Z98" s="11">
        <v>62</v>
      </c>
      <c r="AA98" t="s">
        <v>127</v>
      </c>
      <c r="AB98">
        <v>1</v>
      </c>
      <c r="AC98">
        <v>1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/>
      <c r="DP98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</row>
    <row r="99" spans="1:216" s="122" customFormat="1" ht="75" x14ac:dyDescent="0.25">
      <c r="A99" t="s">
        <v>173</v>
      </c>
      <c r="B99" s="12" t="s">
        <v>427</v>
      </c>
      <c r="C99" s="11">
        <v>24</v>
      </c>
      <c r="D99" t="s">
        <v>591</v>
      </c>
      <c r="E99" s="9">
        <v>0</v>
      </c>
      <c r="F99" s="9">
        <v>0</v>
      </c>
      <c r="G99" s="9">
        <v>1</v>
      </c>
      <c r="H99" s="9">
        <v>0</v>
      </c>
      <c r="I99" s="9">
        <v>0</v>
      </c>
      <c r="J99" s="9">
        <v>0</v>
      </c>
      <c r="K99" s="9">
        <v>1</v>
      </c>
      <c r="L99" s="9">
        <v>0</v>
      </c>
      <c r="M99" s="9">
        <v>0</v>
      </c>
      <c r="N99" s="9">
        <v>0</v>
      </c>
      <c r="O99" s="9">
        <v>0</v>
      </c>
      <c r="P99" s="9">
        <v>0</v>
      </c>
      <c r="Q99" s="9">
        <v>0</v>
      </c>
      <c r="R99" s="9">
        <v>0</v>
      </c>
      <c r="S99" s="6">
        <f>SUM(E99:R99)</f>
        <v>2</v>
      </c>
      <c r="T99"/>
      <c r="U99"/>
      <c r="V99"/>
      <c r="W99"/>
      <c r="X99" t="s">
        <v>217</v>
      </c>
      <c r="Y99" s="10" t="s">
        <v>689</v>
      </c>
      <c r="Z99" s="11">
        <v>63</v>
      </c>
      <c r="AA99" t="s">
        <v>585</v>
      </c>
      <c r="AB99">
        <v>1</v>
      </c>
      <c r="AC99">
        <v>1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/>
      <c r="DP99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</row>
    <row r="100" spans="1:216" s="122" customFormat="1" ht="75" x14ac:dyDescent="0.25">
      <c r="A100" t="s">
        <v>152</v>
      </c>
      <c r="B100" s="10" t="s">
        <v>523</v>
      </c>
      <c r="C100" s="11">
        <v>31</v>
      </c>
      <c r="D100" t="s">
        <v>154</v>
      </c>
      <c r="E100" s="9">
        <v>1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1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6">
        <f>SUM(E100:R100)</f>
        <v>2</v>
      </c>
      <c r="T100"/>
      <c r="U100"/>
      <c r="V100"/>
      <c r="W100"/>
      <c r="X100" t="s">
        <v>68</v>
      </c>
      <c r="Y100" s="10" t="s">
        <v>690</v>
      </c>
      <c r="Z100" s="11">
        <v>64</v>
      </c>
      <c r="AA100" t="s">
        <v>679</v>
      </c>
      <c r="AB100">
        <v>1</v>
      </c>
      <c r="AC100">
        <v>1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1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/>
      <c r="DP100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</row>
    <row r="101" spans="1:216" s="122" customFormat="1" ht="75" x14ac:dyDescent="0.25">
      <c r="A101" s="121" t="s">
        <v>33</v>
      </c>
      <c r="B101" s="137" t="s">
        <v>36</v>
      </c>
      <c r="C101" s="138">
        <v>38</v>
      </c>
      <c r="D101" s="121" t="s">
        <v>161</v>
      </c>
      <c r="E101" s="139">
        <v>1</v>
      </c>
      <c r="F101" s="139">
        <v>0</v>
      </c>
      <c r="G101" s="139">
        <v>1</v>
      </c>
      <c r="H101" s="139">
        <v>0</v>
      </c>
      <c r="I101" s="139">
        <v>0</v>
      </c>
      <c r="J101" s="139">
        <v>0</v>
      </c>
      <c r="K101" s="139">
        <v>0</v>
      </c>
      <c r="L101" s="139">
        <v>0</v>
      </c>
      <c r="M101" s="139">
        <v>0</v>
      </c>
      <c r="N101" s="139">
        <v>0</v>
      </c>
      <c r="O101" s="139">
        <v>0</v>
      </c>
      <c r="P101" s="139">
        <v>0</v>
      </c>
      <c r="Q101" s="139">
        <v>0</v>
      </c>
      <c r="R101" s="139">
        <v>0</v>
      </c>
      <c r="S101" s="140">
        <f>SUM(E101:R101)</f>
        <v>2</v>
      </c>
      <c r="T101" s="121" t="s">
        <v>723</v>
      </c>
      <c r="U101" s="121"/>
      <c r="V101" s="121"/>
      <c r="W101"/>
      <c r="X101" s="20" t="s">
        <v>171</v>
      </c>
      <c r="Y101" s="118" t="s">
        <v>682</v>
      </c>
      <c r="Z101" s="134">
        <v>65</v>
      </c>
      <c r="AA101" s="20" t="s">
        <v>569</v>
      </c>
      <c r="AB101">
        <v>1</v>
      </c>
      <c r="AC101">
        <v>1</v>
      </c>
      <c r="AD101">
        <v>1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1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/>
      <c r="DP101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</row>
    <row r="102" spans="1:216" s="122" customFormat="1" ht="75" x14ac:dyDescent="0.25">
      <c r="A102" s="121" t="s">
        <v>81</v>
      </c>
      <c r="B102" s="137" t="s">
        <v>36</v>
      </c>
      <c r="C102" s="138">
        <v>38</v>
      </c>
      <c r="D102" s="121" t="s">
        <v>83</v>
      </c>
      <c r="E102" s="139">
        <v>0</v>
      </c>
      <c r="F102" s="139">
        <v>0</v>
      </c>
      <c r="G102" s="139">
        <v>1</v>
      </c>
      <c r="H102" s="139">
        <v>0</v>
      </c>
      <c r="I102" s="139">
        <v>1</v>
      </c>
      <c r="J102" s="139">
        <v>0</v>
      </c>
      <c r="K102" s="139">
        <v>0</v>
      </c>
      <c r="L102" s="139">
        <v>0</v>
      </c>
      <c r="M102" s="139">
        <v>0</v>
      </c>
      <c r="N102" s="139">
        <v>0</v>
      </c>
      <c r="O102" s="139">
        <v>0</v>
      </c>
      <c r="P102" s="139">
        <v>0</v>
      </c>
      <c r="Q102" s="139">
        <v>0</v>
      </c>
      <c r="R102" s="139">
        <v>0</v>
      </c>
      <c r="S102" s="140">
        <f>SUM(E102:R102)</f>
        <v>2</v>
      </c>
      <c r="T102" s="121"/>
      <c r="U102" s="121"/>
      <c r="V102" s="121"/>
      <c r="W102"/>
      <c r="X102" s="20" t="s">
        <v>253</v>
      </c>
      <c r="Y102" s="118" t="s">
        <v>682</v>
      </c>
      <c r="Z102" s="134">
        <v>65</v>
      </c>
      <c r="AA102" s="20" t="s">
        <v>255</v>
      </c>
      <c r="AB102">
        <v>1</v>
      </c>
      <c r="AC102">
        <v>1</v>
      </c>
      <c r="AD102">
        <v>1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1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1</v>
      </c>
      <c r="BB102">
        <v>0</v>
      </c>
      <c r="BC102">
        <v>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/>
      <c r="DP10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</row>
    <row r="103" spans="1:216" ht="45" x14ac:dyDescent="0.25">
      <c r="A103" t="s">
        <v>210</v>
      </c>
      <c r="B103" s="12" t="s">
        <v>527</v>
      </c>
      <c r="C103" s="11">
        <v>44</v>
      </c>
      <c r="D103" t="s">
        <v>127</v>
      </c>
      <c r="E103" s="9">
        <v>1</v>
      </c>
      <c r="F103" s="9">
        <v>1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6">
        <f>SUM(E103:R103)</f>
        <v>2</v>
      </c>
      <c r="X103" t="s">
        <v>207</v>
      </c>
      <c r="Y103" s="10" t="s">
        <v>538</v>
      </c>
      <c r="Z103" s="11">
        <v>66</v>
      </c>
      <c r="AA103" t="s">
        <v>557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</row>
    <row r="104" spans="1:216" ht="45" x14ac:dyDescent="0.25">
      <c r="A104" t="s">
        <v>4</v>
      </c>
      <c r="B104" s="10" t="s">
        <v>581</v>
      </c>
      <c r="C104" s="11">
        <v>51</v>
      </c>
      <c r="D104" t="s">
        <v>580</v>
      </c>
      <c r="E104" s="9">
        <v>1</v>
      </c>
      <c r="F104" s="9">
        <v>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1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6">
        <f>SUM(E104:R104)</f>
        <v>2</v>
      </c>
      <c r="X104" t="s">
        <v>207</v>
      </c>
      <c r="Y104" s="10" t="s">
        <v>539</v>
      </c>
      <c r="Z104" s="11">
        <v>67</v>
      </c>
      <c r="AA104" t="s">
        <v>557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</row>
    <row r="105" spans="1:216" s="119" customFormat="1" ht="60" x14ac:dyDescent="0.25">
      <c r="A105" t="s">
        <v>4</v>
      </c>
      <c r="B105" s="10" t="s">
        <v>582</v>
      </c>
      <c r="C105" s="11">
        <v>52</v>
      </c>
      <c r="D105" t="s">
        <v>580</v>
      </c>
      <c r="E105" s="9">
        <v>1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1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6">
        <f>SUM(E105:R105)</f>
        <v>2</v>
      </c>
      <c r="T105"/>
      <c r="U105"/>
      <c r="V105"/>
      <c r="W105"/>
      <c r="X105" t="s">
        <v>16</v>
      </c>
      <c r="Y105" s="10" t="s">
        <v>540</v>
      </c>
      <c r="Z105" s="11">
        <v>68</v>
      </c>
      <c r="AA105" t="s">
        <v>596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/>
      <c r="DP105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</row>
    <row r="106" spans="1:216" s="119" customFormat="1" ht="60" x14ac:dyDescent="0.25">
      <c r="A106" t="s">
        <v>236</v>
      </c>
      <c r="B106" s="10" t="s">
        <v>685</v>
      </c>
      <c r="C106" s="11">
        <v>58</v>
      </c>
      <c r="D106" t="s">
        <v>573</v>
      </c>
      <c r="E106" s="9">
        <v>1</v>
      </c>
      <c r="F106" s="9">
        <v>0</v>
      </c>
      <c r="G106" s="9">
        <v>0</v>
      </c>
      <c r="H106" s="9">
        <v>0</v>
      </c>
      <c r="I106" s="9">
        <v>0</v>
      </c>
      <c r="J106" s="9">
        <v>1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9">
        <v>0</v>
      </c>
      <c r="S106" s="6">
        <f>SUM(E106:R106)</f>
        <v>2</v>
      </c>
      <c r="T106"/>
      <c r="U106"/>
      <c r="V106"/>
      <c r="W106"/>
      <c r="X106" t="s">
        <v>223</v>
      </c>
      <c r="Y106" s="10" t="s">
        <v>541</v>
      </c>
      <c r="Z106" s="11">
        <v>69</v>
      </c>
      <c r="AA106" t="s">
        <v>575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/>
      <c r="DP106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</row>
    <row r="107" spans="1:216" s="119" customFormat="1" x14ac:dyDescent="0.25">
      <c r="A107" t="s">
        <v>160</v>
      </c>
      <c r="B107" s="10" t="s">
        <v>683</v>
      </c>
      <c r="C107" s="11">
        <v>59</v>
      </c>
      <c r="D107" t="s">
        <v>161</v>
      </c>
      <c r="E107" s="9">
        <v>1</v>
      </c>
      <c r="F107" s="9">
        <v>0</v>
      </c>
      <c r="G107" s="9">
        <v>1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6">
        <f>SUM(E107:R107)</f>
        <v>2</v>
      </c>
      <c r="T107"/>
      <c r="U107"/>
      <c r="V107"/>
      <c r="W107"/>
      <c r="X107" s="20" t="s">
        <v>51</v>
      </c>
      <c r="Y107" s="118" t="s">
        <v>506</v>
      </c>
      <c r="Z107" s="134">
        <v>70</v>
      </c>
      <c r="AA107" s="20" t="s">
        <v>579</v>
      </c>
      <c r="AB107">
        <v>1</v>
      </c>
      <c r="AC107">
        <v>0</v>
      </c>
      <c r="AD107">
        <v>0</v>
      </c>
      <c r="AE107">
        <v>0</v>
      </c>
      <c r="AF107">
        <v>1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1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1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/>
      <c r="DP107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</row>
    <row r="108" spans="1:216" s="121" customFormat="1" x14ac:dyDescent="0.25">
      <c r="A108" t="s">
        <v>215</v>
      </c>
      <c r="B108" s="10" t="s">
        <v>688</v>
      </c>
      <c r="C108" s="11">
        <v>62</v>
      </c>
      <c r="D108" t="s">
        <v>127</v>
      </c>
      <c r="E108" s="9">
        <v>1</v>
      </c>
      <c r="F108" s="9">
        <v>1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R108" s="9">
        <v>0</v>
      </c>
      <c r="S108" s="6">
        <f>SUM(E108:R108)</f>
        <v>2</v>
      </c>
      <c r="T108"/>
      <c r="U108"/>
      <c r="V108"/>
      <c r="W108"/>
      <c r="X108" s="20" t="s">
        <v>248</v>
      </c>
      <c r="Y108" s="118" t="s">
        <v>506</v>
      </c>
      <c r="Z108" s="134">
        <v>70</v>
      </c>
      <c r="AA108" s="20" t="s">
        <v>558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1</v>
      </c>
      <c r="AQ108">
        <v>1</v>
      </c>
      <c r="AR108">
        <v>1</v>
      </c>
      <c r="AS108">
        <v>0</v>
      </c>
      <c r="AT108">
        <v>1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1</v>
      </c>
      <c r="BB108">
        <v>1</v>
      </c>
      <c r="BC108">
        <v>1</v>
      </c>
      <c r="BD108">
        <v>0</v>
      </c>
      <c r="BE108">
        <v>1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1</v>
      </c>
      <c r="BM108">
        <v>1</v>
      </c>
      <c r="BN108">
        <v>0</v>
      </c>
      <c r="BO108">
        <v>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1</v>
      </c>
      <c r="BW108">
        <v>0</v>
      </c>
      <c r="BX108">
        <v>1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1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/>
      <c r="DP108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</row>
    <row r="109" spans="1:216" s="160" customFormat="1" ht="45" x14ac:dyDescent="0.25">
      <c r="A109" t="s">
        <v>217</v>
      </c>
      <c r="B109" s="10" t="s">
        <v>689</v>
      </c>
      <c r="C109" s="11">
        <v>63</v>
      </c>
      <c r="D109" t="s">
        <v>585</v>
      </c>
      <c r="E109" s="9">
        <v>0</v>
      </c>
      <c r="F109" s="9">
        <v>1</v>
      </c>
      <c r="G109" s="9">
        <v>0</v>
      </c>
      <c r="H109" s="9">
        <v>0</v>
      </c>
      <c r="I109" s="9">
        <v>1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6">
        <f>SUM(E109:R109)</f>
        <v>2</v>
      </c>
      <c r="T109"/>
      <c r="U109"/>
      <c r="V109"/>
      <c r="X109" t="s">
        <v>239</v>
      </c>
      <c r="Y109" s="10" t="s">
        <v>542</v>
      </c>
      <c r="Z109" s="11">
        <v>71</v>
      </c>
      <c r="AA109" t="s">
        <v>241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1</v>
      </c>
      <c r="AQ109">
        <v>1</v>
      </c>
      <c r="AR109">
        <v>1</v>
      </c>
      <c r="AS109">
        <v>0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</v>
      </c>
      <c r="BB109">
        <v>1</v>
      </c>
      <c r="BC109">
        <v>1</v>
      </c>
      <c r="BD109">
        <v>0</v>
      </c>
      <c r="BE109">
        <v>1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1</v>
      </c>
      <c r="BM109">
        <v>1</v>
      </c>
      <c r="BN109">
        <v>0</v>
      </c>
      <c r="BO109">
        <v>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1</v>
      </c>
      <c r="BW109">
        <v>0</v>
      </c>
      <c r="BX109">
        <v>1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1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/>
      <c r="DP109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</row>
    <row r="110" spans="1:216" s="160" customFormat="1" ht="75" x14ac:dyDescent="0.25">
      <c r="A110" t="s">
        <v>125</v>
      </c>
      <c r="B110" s="10" t="s">
        <v>126</v>
      </c>
      <c r="C110" s="11">
        <v>72</v>
      </c>
      <c r="D110" t="s">
        <v>127</v>
      </c>
      <c r="E110" s="9">
        <v>1</v>
      </c>
      <c r="F110" s="9">
        <v>1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0</v>
      </c>
      <c r="M110" s="9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6">
        <f>SUM(E110:R110)</f>
        <v>2</v>
      </c>
      <c r="T110"/>
      <c r="U110"/>
      <c r="V110"/>
      <c r="X110" t="s">
        <v>231</v>
      </c>
      <c r="Y110" s="10" t="s">
        <v>876</v>
      </c>
      <c r="Z110" s="11">
        <v>71</v>
      </c>
      <c r="AA110" t="s">
        <v>578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1</v>
      </c>
      <c r="AQ110">
        <v>1</v>
      </c>
      <c r="AR110">
        <v>1</v>
      </c>
      <c r="AS110">
        <v>0</v>
      </c>
      <c r="AT110">
        <v>1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</v>
      </c>
      <c r="BB110">
        <v>1</v>
      </c>
      <c r="BC110">
        <v>1</v>
      </c>
      <c r="BD110">
        <v>0</v>
      </c>
      <c r="BE110">
        <v>1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1</v>
      </c>
      <c r="BM110">
        <v>1</v>
      </c>
      <c r="BN110">
        <v>0</v>
      </c>
      <c r="BO110">
        <v>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1</v>
      </c>
      <c r="BW110">
        <v>0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1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/>
      <c r="DP110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</row>
    <row r="111" spans="1:216" s="119" customFormat="1" x14ac:dyDescent="0.25">
      <c r="A111" t="s">
        <v>215</v>
      </c>
      <c r="B111" s="10" t="s">
        <v>548</v>
      </c>
      <c r="C111" s="11">
        <v>78</v>
      </c>
      <c r="D111" t="s">
        <v>127</v>
      </c>
      <c r="E111" s="9">
        <v>1</v>
      </c>
      <c r="F111" s="9">
        <v>1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  <c r="P111" s="9">
        <v>0</v>
      </c>
      <c r="Q111" s="9">
        <v>0</v>
      </c>
      <c r="R111" s="9">
        <v>0</v>
      </c>
      <c r="S111" s="6">
        <f>SUM(E111:R111)</f>
        <v>2</v>
      </c>
      <c r="T111"/>
      <c r="U111"/>
      <c r="V111"/>
      <c r="W111"/>
      <c r="X111" t="s">
        <v>125</v>
      </c>
      <c r="Y111" s="10" t="s">
        <v>126</v>
      </c>
      <c r="Z111" s="11">
        <v>72</v>
      </c>
      <c r="AA111" t="s">
        <v>127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1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/>
      <c r="DP111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</row>
    <row r="112" spans="1:216" s="121" customFormat="1" ht="45" x14ac:dyDescent="0.25">
      <c r="A112" t="s">
        <v>27</v>
      </c>
      <c r="B112" s="10" t="s">
        <v>29</v>
      </c>
      <c r="C112" s="11">
        <v>80</v>
      </c>
      <c r="D112" t="s">
        <v>30</v>
      </c>
      <c r="E112" s="9">
        <v>1</v>
      </c>
      <c r="F112" s="9">
        <v>0</v>
      </c>
      <c r="G112" s="9">
        <v>0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0</v>
      </c>
      <c r="N112" s="9">
        <v>0</v>
      </c>
      <c r="O112" s="9">
        <v>0</v>
      </c>
      <c r="P112" s="9">
        <v>0</v>
      </c>
      <c r="Q112" s="9">
        <v>0</v>
      </c>
      <c r="R112" s="9">
        <v>1</v>
      </c>
      <c r="S112" s="6">
        <f>SUM(E112:R112)</f>
        <v>2</v>
      </c>
      <c r="T112"/>
      <c r="U112"/>
      <c r="V112"/>
      <c r="W112"/>
      <c r="X112" t="s">
        <v>120</v>
      </c>
      <c r="Y112" s="10" t="s">
        <v>543</v>
      </c>
      <c r="Z112" s="11">
        <v>73</v>
      </c>
      <c r="AA112" t="s">
        <v>569</v>
      </c>
      <c r="AB112">
        <v>1</v>
      </c>
      <c r="AC112">
        <v>1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1</v>
      </c>
      <c r="AQ112">
        <v>0</v>
      </c>
      <c r="AR112">
        <v>0</v>
      </c>
      <c r="AS112">
        <v>0</v>
      </c>
      <c r="AT112">
        <v>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1</v>
      </c>
      <c r="BB112">
        <v>0</v>
      </c>
      <c r="BC112">
        <v>0</v>
      </c>
      <c r="BD112">
        <v>0</v>
      </c>
      <c r="BE112">
        <v>1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/>
      <c r="DP11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</row>
    <row r="113" spans="1:216" s="120" customFormat="1" ht="45" x14ac:dyDescent="0.25">
      <c r="A113" s="20" t="s">
        <v>22</v>
      </c>
      <c r="B113" s="123" t="s">
        <v>24</v>
      </c>
      <c r="C113" s="134">
        <v>14</v>
      </c>
      <c r="D113" s="20" t="s">
        <v>575</v>
      </c>
      <c r="E113" s="124">
        <v>1</v>
      </c>
      <c r="F113" s="124">
        <v>0</v>
      </c>
      <c r="G113" s="124">
        <v>0</v>
      </c>
      <c r="H113" s="124">
        <v>0</v>
      </c>
      <c r="I113" s="124">
        <v>0</v>
      </c>
      <c r="J113" s="124">
        <v>0</v>
      </c>
      <c r="K113" s="124">
        <v>0</v>
      </c>
      <c r="L113" s="124">
        <v>0</v>
      </c>
      <c r="M113" s="124">
        <v>0</v>
      </c>
      <c r="N113" s="124">
        <v>0</v>
      </c>
      <c r="O113" s="124">
        <v>0</v>
      </c>
      <c r="P113" s="124">
        <v>0</v>
      </c>
      <c r="Q113" s="124">
        <v>0</v>
      </c>
      <c r="R113" s="124">
        <v>0</v>
      </c>
      <c r="S113" s="125">
        <f>SUM(E113:R113)</f>
        <v>1</v>
      </c>
      <c r="T113" s="20"/>
      <c r="U113" s="20"/>
      <c r="V113" s="20"/>
      <c r="W113"/>
      <c r="X113" t="s">
        <v>45</v>
      </c>
      <c r="Y113" s="10" t="s">
        <v>544</v>
      </c>
      <c r="Z113" s="11">
        <v>74</v>
      </c>
      <c r="AA113" t="s">
        <v>48</v>
      </c>
      <c r="AB113">
        <v>0</v>
      </c>
      <c r="AC113">
        <v>1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</v>
      </c>
      <c r="BC113">
        <v>0</v>
      </c>
      <c r="BD113">
        <v>0</v>
      </c>
      <c r="BE113">
        <v>0</v>
      </c>
      <c r="BF113">
        <v>1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/>
      <c r="DP113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</row>
    <row r="114" spans="1:216" s="121" customFormat="1" ht="45" x14ac:dyDescent="0.25">
      <c r="A114" s="121" t="s">
        <v>99</v>
      </c>
      <c r="B114" s="137" t="s">
        <v>89</v>
      </c>
      <c r="C114" s="138">
        <v>15</v>
      </c>
      <c r="D114" s="121" t="s">
        <v>718</v>
      </c>
      <c r="E114" s="139">
        <v>1</v>
      </c>
      <c r="F114" s="139">
        <v>0</v>
      </c>
      <c r="G114" s="139">
        <v>0</v>
      </c>
      <c r="H114" s="139">
        <v>0</v>
      </c>
      <c r="I114" s="139">
        <v>0</v>
      </c>
      <c r="J114" s="139">
        <v>0</v>
      </c>
      <c r="K114" s="139">
        <v>0</v>
      </c>
      <c r="L114" s="139">
        <v>0</v>
      </c>
      <c r="M114" s="139">
        <v>0</v>
      </c>
      <c r="N114" s="139">
        <v>0</v>
      </c>
      <c r="O114" s="139">
        <v>0</v>
      </c>
      <c r="P114" s="139">
        <v>0</v>
      </c>
      <c r="Q114" s="139">
        <v>0</v>
      </c>
      <c r="R114" s="139">
        <v>0</v>
      </c>
      <c r="S114" s="140">
        <f>SUM(E114:R114)</f>
        <v>1</v>
      </c>
      <c r="W114"/>
      <c r="X114" t="s">
        <v>16</v>
      </c>
      <c r="Y114" s="10" t="s">
        <v>545</v>
      </c>
      <c r="Z114" s="11">
        <v>75</v>
      </c>
      <c r="AA114" t="s">
        <v>596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1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</v>
      </c>
      <c r="BB114">
        <v>0</v>
      </c>
      <c r="BC114">
        <v>0</v>
      </c>
      <c r="BD114">
        <v>0</v>
      </c>
      <c r="BE114">
        <v>1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/>
      <c r="DP114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</row>
    <row r="115" spans="1:216" s="20" customFormat="1" ht="45" x14ac:dyDescent="0.25">
      <c r="A115" s="120" t="s">
        <v>219</v>
      </c>
      <c r="B115" s="126" t="s">
        <v>74</v>
      </c>
      <c r="C115" s="136">
        <v>30</v>
      </c>
      <c r="D115" s="120" t="s">
        <v>561</v>
      </c>
      <c r="E115" s="127">
        <v>0</v>
      </c>
      <c r="F115" s="127">
        <v>0</v>
      </c>
      <c r="G115" s="127">
        <v>0</v>
      </c>
      <c r="H115" s="127">
        <v>0</v>
      </c>
      <c r="I115" s="127">
        <v>0</v>
      </c>
      <c r="J115" s="127">
        <v>0</v>
      </c>
      <c r="K115" s="127">
        <v>1</v>
      </c>
      <c r="L115" s="127">
        <v>0</v>
      </c>
      <c r="M115" s="127">
        <v>0</v>
      </c>
      <c r="N115" s="127">
        <v>0</v>
      </c>
      <c r="O115" s="127">
        <v>0</v>
      </c>
      <c r="P115" s="127">
        <v>0</v>
      </c>
      <c r="Q115" s="127">
        <v>0</v>
      </c>
      <c r="R115" s="127">
        <v>0</v>
      </c>
      <c r="S115" s="128">
        <f>SUM(E115:R115)</f>
        <v>1</v>
      </c>
      <c r="T115" s="120"/>
      <c r="U115" s="120" t="s">
        <v>729</v>
      </c>
      <c r="V115" s="120"/>
      <c r="W115"/>
      <c r="X115" t="s">
        <v>16</v>
      </c>
      <c r="Y115" s="10" t="s">
        <v>546</v>
      </c>
      <c r="Z115" s="11">
        <v>76</v>
      </c>
      <c r="AA115" t="s">
        <v>596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/>
      <c r="DP115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</row>
    <row r="116" spans="1:216" s="20" customFormat="1" ht="45" x14ac:dyDescent="0.25">
      <c r="A116" t="s">
        <v>176</v>
      </c>
      <c r="B116" s="10" t="s">
        <v>681</v>
      </c>
      <c r="C116" s="11">
        <v>56</v>
      </c>
      <c r="D116" t="s">
        <v>558</v>
      </c>
      <c r="E116" s="9">
        <v>0</v>
      </c>
      <c r="F116" s="9">
        <v>1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9">
        <v>0</v>
      </c>
      <c r="S116" s="6">
        <f>SUM(E116:R116)</f>
        <v>1</v>
      </c>
      <c r="T116"/>
      <c r="U116"/>
      <c r="V116"/>
      <c r="W116"/>
      <c r="X116" t="s">
        <v>16</v>
      </c>
      <c r="Y116" s="10" t="s">
        <v>547</v>
      </c>
      <c r="Z116" s="11">
        <v>77</v>
      </c>
      <c r="AA116" t="s">
        <v>596</v>
      </c>
      <c r="AB116">
        <v>1</v>
      </c>
      <c r="AC116">
        <v>1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0</v>
      </c>
      <c r="BG116">
        <v>1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1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/>
      <c r="DP116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</row>
    <row r="117" spans="1:216" s="20" customFormat="1" ht="45" x14ac:dyDescent="0.25">
      <c r="A117" t="s">
        <v>223</v>
      </c>
      <c r="B117" s="10" t="s">
        <v>541</v>
      </c>
      <c r="C117" s="11">
        <v>69</v>
      </c>
      <c r="D117" t="s">
        <v>575</v>
      </c>
      <c r="E117" s="9">
        <v>1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9">
        <v>0</v>
      </c>
      <c r="S117" s="6">
        <f>SUM(E117:R117)</f>
        <v>1</v>
      </c>
      <c r="T117"/>
      <c r="U117"/>
      <c r="V117"/>
      <c r="W117"/>
      <c r="X117" t="s">
        <v>215</v>
      </c>
      <c r="Y117" s="10" t="s">
        <v>548</v>
      </c>
      <c r="Z117" s="11">
        <v>78</v>
      </c>
      <c r="AA117" t="s">
        <v>127</v>
      </c>
      <c r="AB117">
        <v>1</v>
      </c>
      <c r="AC117">
        <v>1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1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/>
      <c r="DP117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</row>
    <row r="118" spans="1:216" s="20" customFormat="1" x14ac:dyDescent="0.25">
      <c r="A118" s="20" t="s">
        <v>51</v>
      </c>
      <c r="B118" s="118" t="s">
        <v>506</v>
      </c>
      <c r="C118" s="134">
        <v>70</v>
      </c>
      <c r="D118" s="20" t="s">
        <v>579</v>
      </c>
      <c r="E118" s="124">
        <v>0</v>
      </c>
      <c r="F118" s="124">
        <v>1</v>
      </c>
      <c r="G118" s="124">
        <v>0</v>
      </c>
      <c r="H118" s="124">
        <v>0</v>
      </c>
      <c r="I118" s="124">
        <v>0</v>
      </c>
      <c r="J118" s="124">
        <v>0</v>
      </c>
      <c r="K118" s="124">
        <v>0</v>
      </c>
      <c r="L118" s="124">
        <v>0</v>
      </c>
      <c r="M118" s="124">
        <v>0</v>
      </c>
      <c r="N118" s="124">
        <v>0</v>
      </c>
      <c r="O118" s="124">
        <v>0</v>
      </c>
      <c r="P118" s="124">
        <v>0</v>
      </c>
      <c r="Q118" s="124">
        <v>0</v>
      </c>
      <c r="R118" s="124">
        <v>0</v>
      </c>
      <c r="S118" s="125">
        <f>SUM(E118:R118)</f>
        <v>1</v>
      </c>
      <c r="W118"/>
      <c r="X118" s="20" t="s">
        <v>156</v>
      </c>
      <c r="Y118" s="118" t="s">
        <v>356</v>
      </c>
      <c r="Z118" s="134">
        <v>79</v>
      </c>
      <c r="AA118" s="20" t="s">
        <v>157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/>
      <c r="DP118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</row>
    <row r="119" spans="1:216" s="20" customFormat="1" x14ac:dyDescent="0.25">
      <c r="A119" s="20" t="s">
        <v>248</v>
      </c>
      <c r="B119" s="118" t="s">
        <v>506</v>
      </c>
      <c r="C119" s="134">
        <v>70</v>
      </c>
      <c r="D119" s="20" t="s">
        <v>558</v>
      </c>
      <c r="E119" s="124">
        <v>0</v>
      </c>
      <c r="F119" s="124">
        <v>1</v>
      </c>
      <c r="G119" s="124">
        <v>0</v>
      </c>
      <c r="H119" s="124">
        <v>0</v>
      </c>
      <c r="I119" s="124">
        <v>0</v>
      </c>
      <c r="J119" s="124">
        <v>0</v>
      </c>
      <c r="K119" s="124">
        <v>0</v>
      </c>
      <c r="L119" s="124">
        <v>0</v>
      </c>
      <c r="M119" s="124">
        <v>0</v>
      </c>
      <c r="N119" s="124">
        <v>0</v>
      </c>
      <c r="O119" s="124">
        <v>0</v>
      </c>
      <c r="P119" s="124">
        <v>0</v>
      </c>
      <c r="Q119" s="124">
        <v>0</v>
      </c>
      <c r="R119" s="124">
        <v>0</v>
      </c>
      <c r="S119" s="125">
        <f>SUM(E119:R119)</f>
        <v>1</v>
      </c>
      <c r="W119"/>
      <c r="X119" s="20" t="s">
        <v>231</v>
      </c>
      <c r="Y119" s="118" t="s">
        <v>356</v>
      </c>
      <c r="Z119" s="134">
        <v>79</v>
      </c>
      <c r="AA119" s="20" t="s">
        <v>578</v>
      </c>
      <c r="AB119">
        <v>1</v>
      </c>
      <c r="AC119">
        <v>1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1</v>
      </c>
      <c r="AT119">
        <v>0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0</v>
      </c>
      <c r="BF119">
        <v>0</v>
      </c>
      <c r="BG119">
        <v>1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1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/>
      <c r="DP119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</row>
    <row r="120" spans="1:216" s="119" customFormat="1" x14ac:dyDescent="0.25">
      <c r="A120" s="20" t="s">
        <v>91</v>
      </c>
      <c r="B120" s="123" t="s">
        <v>24</v>
      </c>
      <c r="C120" s="134">
        <v>14</v>
      </c>
      <c r="D120" s="118"/>
      <c r="E120" s="124">
        <v>0</v>
      </c>
      <c r="F120" s="124">
        <v>0</v>
      </c>
      <c r="G120" s="124">
        <v>0</v>
      </c>
      <c r="H120" s="124">
        <v>0</v>
      </c>
      <c r="I120" s="124">
        <v>0</v>
      </c>
      <c r="J120" s="124">
        <v>0</v>
      </c>
      <c r="K120" s="124">
        <v>0</v>
      </c>
      <c r="L120" s="124">
        <v>0</v>
      </c>
      <c r="M120" s="124">
        <v>0</v>
      </c>
      <c r="N120" s="124">
        <v>0</v>
      </c>
      <c r="O120" s="124">
        <v>0</v>
      </c>
      <c r="P120" s="124">
        <v>0</v>
      </c>
      <c r="Q120" s="124">
        <v>0</v>
      </c>
      <c r="R120" s="124">
        <v>0</v>
      </c>
      <c r="S120" s="125">
        <f>SUM(E120:R120)</f>
        <v>0</v>
      </c>
      <c r="T120" s="20"/>
      <c r="U120" s="20"/>
      <c r="V120" s="20"/>
      <c r="W120"/>
      <c r="X120" t="s">
        <v>27</v>
      </c>
      <c r="Y120" s="10" t="s">
        <v>29</v>
      </c>
      <c r="Z120" s="11">
        <v>80</v>
      </c>
      <c r="AA120" t="s">
        <v>30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/>
      <c r="DP120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</row>
    <row r="121" spans="1:216" x14ac:dyDescent="0.25"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</row>
    <row r="122" spans="1:216" x14ac:dyDescent="0.25">
      <c r="S122"/>
    </row>
  </sheetData>
  <sortState xmlns:xlrd2="http://schemas.microsoft.com/office/spreadsheetml/2017/richdata2" ref="A3:V122">
    <sortCondition descending="1" ref="S1:S122"/>
  </sortState>
  <conditionalFormatting sqref="AC15 AH14:AI14 AC14:AF14 AC13:AD13 AJ12:AK12 AH12:AH13 AC12:AF12 AC11:AI11 AC10:AJ10 AC9:AH9 AC3:AK8">
    <cfRule type="cellIs" dxfId="1" priority="2" operator="greaterThan">
      <formula>4</formula>
    </cfRule>
  </conditionalFormatting>
  <conditionalFormatting sqref="AB3:DN120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F306E-B226-4314-BF33-54D024536171}">
  <dimension ref="A1:V83"/>
  <sheetViews>
    <sheetView topLeftCell="A43" zoomScale="70" zoomScaleNormal="70" workbookViewId="0">
      <selection activeCell="B1" sqref="B1:B1048576"/>
    </sheetView>
  </sheetViews>
  <sheetFormatPr defaultColWidth="8.85546875" defaultRowHeight="15" x14ac:dyDescent="0.25"/>
  <cols>
    <col min="2" max="2" width="32.5703125" style="10" customWidth="1"/>
    <col min="3" max="16" width="9.140625"/>
    <col min="17" max="17" width="8.85546875" style="2"/>
    <col min="21" max="21" width="12.85546875" bestFit="1" customWidth="1"/>
  </cols>
  <sheetData>
    <row r="1" spans="1:22" ht="30" x14ac:dyDescent="0.25">
      <c r="A1" t="s">
        <v>696</v>
      </c>
      <c r="B1" s="7" t="s">
        <v>316</v>
      </c>
      <c r="C1" s="2" t="s">
        <v>602</v>
      </c>
      <c r="D1" s="8" t="s">
        <v>317</v>
      </c>
      <c r="E1" s="6" t="s">
        <v>741</v>
      </c>
      <c r="F1" s="6" t="s">
        <v>742</v>
      </c>
      <c r="G1" s="6" t="s">
        <v>743</v>
      </c>
      <c r="H1" s="6" t="s">
        <v>700</v>
      </c>
      <c r="I1" s="6" t="s">
        <v>701</v>
      </c>
      <c r="J1" s="6" t="s">
        <v>702</v>
      </c>
      <c r="K1" s="6" t="s">
        <v>744</v>
      </c>
      <c r="L1" s="6" t="s">
        <v>745</v>
      </c>
      <c r="M1" s="6" t="s">
        <v>746</v>
      </c>
      <c r="N1" s="6" t="s">
        <v>877</v>
      </c>
      <c r="O1" s="6" t="s">
        <v>747</v>
      </c>
      <c r="P1" s="6" t="s">
        <v>748</v>
      </c>
      <c r="Q1" s="6" t="s">
        <v>709</v>
      </c>
      <c r="R1" s="6" t="s">
        <v>749</v>
      </c>
      <c r="S1" s="6" t="s">
        <v>711</v>
      </c>
      <c r="U1" s="6" t="s">
        <v>903</v>
      </c>
      <c r="V1" s="6" t="s">
        <v>733</v>
      </c>
    </row>
    <row r="2" spans="1:22" x14ac:dyDescent="0.25">
      <c r="A2">
        <v>0</v>
      </c>
      <c r="B2" s="12" t="s">
        <v>422</v>
      </c>
      <c r="C2" t="s">
        <v>654</v>
      </c>
      <c r="D2" s="11">
        <v>1</v>
      </c>
      <c r="E2" s="9">
        <v>1</v>
      </c>
      <c r="F2" s="9">
        <v>1</v>
      </c>
      <c r="G2" s="9">
        <v>0</v>
      </c>
      <c r="H2" s="9">
        <v>0</v>
      </c>
      <c r="I2" s="9">
        <v>1</v>
      </c>
      <c r="J2" s="9">
        <v>1</v>
      </c>
      <c r="K2" s="9">
        <v>0</v>
      </c>
      <c r="L2" s="9">
        <v>0</v>
      </c>
      <c r="M2" s="9">
        <v>1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6">
        <v>5</v>
      </c>
      <c r="U2" s="6" t="s">
        <v>741</v>
      </c>
      <c r="V2">
        <f>SUM(E2:E81)</f>
        <v>106</v>
      </c>
    </row>
    <row r="3" spans="1:22" x14ac:dyDescent="0.25">
      <c r="A3">
        <v>1</v>
      </c>
      <c r="B3" s="12" t="s">
        <v>400</v>
      </c>
      <c r="C3" t="s">
        <v>645</v>
      </c>
      <c r="D3" s="11">
        <v>2</v>
      </c>
      <c r="E3" s="9">
        <v>1</v>
      </c>
      <c r="F3" s="9">
        <v>1</v>
      </c>
      <c r="G3" s="9">
        <v>0</v>
      </c>
      <c r="H3" s="9">
        <v>0</v>
      </c>
      <c r="I3" s="9">
        <v>0</v>
      </c>
      <c r="J3" s="9">
        <v>1</v>
      </c>
      <c r="K3" s="9">
        <v>1</v>
      </c>
      <c r="L3" s="9">
        <v>0</v>
      </c>
      <c r="M3" s="9">
        <v>1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6">
        <v>5</v>
      </c>
      <c r="U3" s="6" t="s">
        <v>742</v>
      </c>
      <c r="V3">
        <f>SUM(F2:F81)</f>
        <v>91</v>
      </c>
    </row>
    <row r="4" spans="1:22" x14ac:dyDescent="0.25">
      <c r="A4">
        <v>2</v>
      </c>
      <c r="B4" s="12" t="s">
        <v>514</v>
      </c>
      <c r="C4" t="s">
        <v>613</v>
      </c>
      <c r="D4" s="11">
        <v>3</v>
      </c>
      <c r="E4" s="9">
        <v>1</v>
      </c>
      <c r="F4" s="9">
        <v>1</v>
      </c>
      <c r="G4" s="9">
        <v>1</v>
      </c>
      <c r="H4" s="9">
        <v>0</v>
      </c>
      <c r="I4" s="9">
        <v>0</v>
      </c>
      <c r="J4" s="9">
        <v>0</v>
      </c>
      <c r="K4" s="9">
        <v>1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6">
        <v>4</v>
      </c>
      <c r="U4" s="6" t="s">
        <v>743</v>
      </c>
      <c r="V4">
        <f>SUM(G2:G81)</f>
        <v>53</v>
      </c>
    </row>
    <row r="5" spans="1:22" x14ac:dyDescent="0.25">
      <c r="A5">
        <v>3</v>
      </c>
      <c r="B5" s="12" t="s">
        <v>244</v>
      </c>
      <c r="C5" t="s">
        <v>604</v>
      </c>
      <c r="D5" s="11">
        <v>4</v>
      </c>
      <c r="E5" s="9">
        <v>1</v>
      </c>
      <c r="F5" s="9">
        <v>0</v>
      </c>
      <c r="G5" s="9">
        <v>0</v>
      </c>
      <c r="H5" s="9">
        <v>0</v>
      </c>
      <c r="I5" s="9">
        <v>1</v>
      </c>
      <c r="J5" s="9">
        <v>0</v>
      </c>
      <c r="K5" s="9">
        <v>0</v>
      </c>
      <c r="L5" s="9">
        <v>0</v>
      </c>
      <c r="M5" s="9">
        <v>1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6">
        <v>3</v>
      </c>
      <c r="U5" s="6" t="s">
        <v>700</v>
      </c>
      <c r="V5">
        <f>SUM(H2:H81)</f>
        <v>28</v>
      </c>
    </row>
    <row r="6" spans="1:22" x14ac:dyDescent="0.25">
      <c r="A6">
        <v>4</v>
      </c>
      <c r="B6" s="132" t="s">
        <v>97</v>
      </c>
      <c r="C6" s="119" t="s">
        <v>618</v>
      </c>
      <c r="D6" s="135">
        <v>5</v>
      </c>
      <c r="E6" s="130">
        <v>5</v>
      </c>
      <c r="F6" s="130">
        <v>1</v>
      </c>
      <c r="G6" s="130">
        <v>1</v>
      </c>
      <c r="H6" s="130">
        <v>0</v>
      </c>
      <c r="I6" s="130">
        <v>0</v>
      </c>
      <c r="J6" s="130">
        <v>0</v>
      </c>
      <c r="K6" s="130">
        <v>0</v>
      </c>
      <c r="L6" s="130">
        <v>1</v>
      </c>
      <c r="M6" s="130">
        <v>3</v>
      </c>
      <c r="N6" s="130">
        <v>0</v>
      </c>
      <c r="O6" s="130">
        <v>0</v>
      </c>
      <c r="P6" s="130">
        <v>0</v>
      </c>
      <c r="Q6" s="130">
        <v>0</v>
      </c>
      <c r="R6" s="130">
        <v>0</v>
      </c>
      <c r="S6" s="131">
        <v>9</v>
      </c>
      <c r="U6" s="6" t="s">
        <v>701</v>
      </c>
      <c r="V6">
        <f>SUM(I2:I81)</f>
        <v>27</v>
      </c>
    </row>
    <row r="7" spans="1:22" x14ac:dyDescent="0.25">
      <c r="A7">
        <v>5</v>
      </c>
      <c r="B7" s="123" t="s">
        <v>135</v>
      </c>
      <c r="C7" s="20" t="s">
        <v>620</v>
      </c>
      <c r="D7" s="134">
        <v>6</v>
      </c>
      <c r="E7" s="124">
        <v>2</v>
      </c>
      <c r="F7" s="124">
        <v>2</v>
      </c>
      <c r="G7" s="124">
        <v>0</v>
      </c>
      <c r="H7" s="124">
        <v>0</v>
      </c>
      <c r="I7" s="124">
        <v>0</v>
      </c>
      <c r="J7" s="124">
        <v>1</v>
      </c>
      <c r="K7" s="124">
        <v>0</v>
      </c>
      <c r="L7" s="124">
        <v>1</v>
      </c>
      <c r="M7" s="124">
        <v>2</v>
      </c>
      <c r="N7" s="124">
        <v>0</v>
      </c>
      <c r="O7" s="124">
        <v>1</v>
      </c>
      <c r="P7" s="124">
        <v>0</v>
      </c>
      <c r="Q7" s="124">
        <v>0</v>
      </c>
      <c r="R7" s="124">
        <v>0</v>
      </c>
      <c r="S7" s="125">
        <v>9</v>
      </c>
      <c r="U7" s="6" t="s">
        <v>702</v>
      </c>
      <c r="V7">
        <f>SUM(J2:J81)</f>
        <v>26</v>
      </c>
    </row>
    <row r="8" spans="1:22" x14ac:dyDescent="0.25">
      <c r="A8">
        <v>6</v>
      </c>
      <c r="B8" s="10" t="s">
        <v>515</v>
      </c>
      <c r="C8" t="s">
        <v>609</v>
      </c>
      <c r="D8" s="11">
        <v>7</v>
      </c>
      <c r="E8" s="9">
        <v>1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6">
        <v>2</v>
      </c>
      <c r="U8" s="6" t="s">
        <v>744</v>
      </c>
      <c r="V8">
        <f>SUM(K2:K81)</f>
        <v>27</v>
      </c>
    </row>
    <row r="9" spans="1:22" x14ac:dyDescent="0.25">
      <c r="A9">
        <v>7</v>
      </c>
      <c r="B9" s="10" t="s">
        <v>516</v>
      </c>
      <c r="C9" t="s">
        <v>642</v>
      </c>
      <c r="D9" s="11">
        <v>8</v>
      </c>
      <c r="E9" s="9">
        <v>1</v>
      </c>
      <c r="F9" s="9">
        <v>0</v>
      </c>
      <c r="G9" s="9">
        <v>1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6">
        <v>2</v>
      </c>
      <c r="U9" s="6" t="s">
        <v>745</v>
      </c>
      <c r="V9">
        <f>SUM(L2:L81)</f>
        <v>18</v>
      </c>
    </row>
    <row r="10" spans="1:22" x14ac:dyDescent="0.25">
      <c r="A10">
        <v>8</v>
      </c>
      <c r="B10" s="12" t="s">
        <v>418</v>
      </c>
      <c r="C10" t="s">
        <v>653</v>
      </c>
      <c r="D10" s="11">
        <v>9</v>
      </c>
      <c r="E10" s="9">
        <v>1</v>
      </c>
      <c r="F10" s="9">
        <v>1</v>
      </c>
      <c r="G10" s="9">
        <v>0</v>
      </c>
      <c r="H10" s="9">
        <v>0</v>
      </c>
      <c r="I10" s="9">
        <v>0</v>
      </c>
      <c r="J10" s="9">
        <v>0</v>
      </c>
      <c r="K10" s="9">
        <v>1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6">
        <v>3</v>
      </c>
      <c r="U10" s="6" t="s">
        <v>746</v>
      </c>
      <c r="V10">
        <f>SUM(M2:M81)</f>
        <v>17</v>
      </c>
    </row>
    <row r="11" spans="1:22" x14ac:dyDescent="0.25">
      <c r="A11">
        <v>9</v>
      </c>
      <c r="B11" s="12" t="s">
        <v>78</v>
      </c>
      <c r="C11" t="s">
        <v>621</v>
      </c>
      <c r="D11" s="11">
        <v>10</v>
      </c>
      <c r="E11" s="9">
        <v>1</v>
      </c>
      <c r="F11" s="9">
        <v>1</v>
      </c>
      <c r="G11" s="9">
        <v>1</v>
      </c>
      <c r="H11" s="9">
        <v>1</v>
      </c>
      <c r="I11" s="9">
        <v>1</v>
      </c>
      <c r="J11" s="9">
        <v>1</v>
      </c>
      <c r="K11" s="9">
        <v>0</v>
      </c>
      <c r="L11" s="9">
        <v>0</v>
      </c>
      <c r="M11" s="9">
        <v>1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6">
        <v>7</v>
      </c>
      <c r="U11" s="6" t="s">
        <v>877</v>
      </c>
      <c r="V11">
        <f>SUM(N2:N81)</f>
        <v>7</v>
      </c>
    </row>
    <row r="12" spans="1:22" x14ac:dyDescent="0.25">
      <c r="A12">
        <v>10</v>
      </c>
      <c r="B12" s="12" t="s">
        <v>517</v>
      </c>
      <c r="C12" t="s">
        <v>605</v>
      </c>
      <c r="D12" s="11">
        <v>11</v>
      </c>
      <c r="E12" s="9">
        <v>1</v>
      </c>
      <c r="F12" s="9">
        <v>1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6">
        <v>2</v>
      </c>
      <c r="U12" s="6" t="s">
        <v>747</v>
      </c>
      <c r="V12">
        <f>SUM(O2:O81)</f>
        <v>5</v>
      </c>
    </row>
    <row r="13" spans="1:22" x14ac:dyDescent="0.25">
      <c r="A13">
        <v>11</v>
      </c>
      <c r="B13" s="10" t="s">
        <v>518</v>
      </c>
      <c r="C13" t="s">
        <v>646</v>
      </c>
      <c r="D13" s="11">
        <v>12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1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6">
        <v>2</v>
      </c>
      <c r="U13" s="6" t="s">
        <v>748</v>
      </c>
      <c r="V13">
        <f>SUM(P2:P81)</f>
        <v>5</v>
      </c>
    </row>
    <row r="14" spans="1:22" x14ac:dyDescent="0.25">
      <c r="A14">
        <v>12</v>
      </c>
      <c r="B14" s="12" t="s">
        <v>519</v>
      </c>
      <c r="C14" t="s">
        <v>608</v>
      </c>
      <c r="D14" s="11">
        <v>13</v>
      </c>
      <c r="E14" s="9">
        <v>1</v>
      </c>
      <c r="F14" s="9">
        <v>1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6">
        <v>2</v>
      </c>
      <c r="U14" s="6" t="s">
        <v>709</v>
      </c>
      <c r="V14">
        <f>SUM(Q2:Q81)</f>
        <v>1</v>
      </c>
    </row>
    <row r="15" spans="1:22" x14ac:dyDescent="0.25">
      <c r="A15">
        <v>13</v>
      </c>
      <c r="B15" s="123" t="s">
        <v>24</v>
      </c>
      <c r="C15" s="20" t="s">
        <v>632</v>
      </c>
      <c r="D15" s="134">
        <v>14</v>
      </c>
      <c r="E15" s="124">
        <v>1</v>
      </c>
      <c r="F15" s="124">
        <v>0</v>
      </c>
      <c r="G15" s="124">
        <v>0</v>
      </c>
      <c r="H15" s="124">
        <v>0</v>
      </c>
      <c r="I15" s="124">
        <v>0</v>
      </c>
      <c r="J15" s="124">
        <v>0</v>
      </c>
      <c r="K15" s="124">
        <v>0</v>
      </c>
      <c r="L15" s="124">
        <v>0</v>
      </c>
      <c r="M15" s="124">
        <v>0</v>
      </c>
      <c r="N15" s="124">
        <v>0</v>
      </c>
      <c r="O15" s="124">
        <v>0</v>
      </c>
      <c r="P15" s="124">
        <v>0</v>
      </c>
      <c r="Q15" s="124">
        <v>0</v>
      </c>
      <c r="R15" s="124">
        <v>0</v>
      </c>
      <c r="S15" s="125">
        <v>1</v>
      </c>
      <c r="U15" s="6" t="s">
        <v>749</v>
      </c>
      <c r="V15">
        <f>SUM(R2:R81)</f>
        <v>1</v>
      </c>
    </row>
    <row r="16" spans="1:22" x14ac:dyDescent="0.25">
      <c r="A16">
        <v>14</v>
      </c>
      <c r="B16" s="137" t="s">
        <v>89</v>
      </c>
      <c r="C16" s="121" t="s">
        <v>622</v>
      </c>
      <c r="D16" s="138">
        <v>15</v>
      </c>
      <c r="E16" s="139">
        <v>5</v>
      </c>
      <c r="F16" s="139">
        <v>3</v>
      </c>
      <c r="G16" s="139">
        <v>4</v>
      </c>
      <c r="H16" s="139">
        <v>0</v>
      </c>
      <c r="I16" s="139">
        <v>1</v>
      </c>
      <c r="J16" s="139">
        <v>1</v>
      </c>
      <c r="K16" s="139">
        <v>0</v>
      </c>
      <c r="L16" s="139">
        <v>1</v>
      </c>
      <c r="M16" s="139">
        <v>0</v>
      </c>
      <c r="N16" s="139">
        <v>0</v>
      </c>
      <c r="O16" s="139">
        <v>1</v>
      </c>
      <c r="P16" s="139">
        <v>0</v>
      </c>
      <c r="Q16" s="139">
        <v>0</v>
      </c>
      <c r="R16" s="139">
        <v>0</v>
      </c>
      <c r="S16" s="140">
        <v>17</v>
      </c>
      <c r="U16" s="6" t="s">
        <v>711</v>
      </c>
      <c r="V16">
        <f>SUM(V2:V15)</f>
        <v>412</v>
      </c>
    </row>
    <row r="17" spans="1:19" x14ac:dyDescent="0.25">
      <c r="A17">
        <v>15</v>
      </c>
      <c r="B17" s="12" t="s">
        <v>520</v>
      </c>
      <c r="C17" t="s">
        <v>623</v>
      </c>
      <c r="D17" s="11">
        <v>16</v>
      </c>
      <c r="E17" s="9">
        <v>1</v>
      </c>
      <c r="F17" s="9">
        <v>1</v>
      </c>
      <c r="G17" s="9">
        <v>0</v>
      </c>
      <c r="H17" s="9">
        <v>1</v>
      </c>
      <c r="I17" s="9">
        <v>0</v>
      </c>
      <c r="J17" s="9">
        <v>1</v>
      </c>
      <c r="K17" s="9">
        <v>1</v>
      </c>
      <c r="L17" s="9">
        <v>0</v>
      </c>
      <c r="M17" s="9">
        <v>0</v>
      </c>
      <c r="N17" s="9">
        <v>1</v>
      </c>
      <c r="O17" s="9">
        <v>0</v>
      </c>
      <c r="P17" s="9">
        <v>0</v>
      </c>
      <c r="Q17" s="9">
        <v>0</v>
      </c>
      <c r="R17" s="9">
        <v>0</v>
      </c>
      <c r="S17" s="6">
        <v>6</v>
      </c>
    </row>
    <row r="18" spans="1:19" x14ac:dyDescent="0.25">
      <c r="A18">
        <v>16</v>
      </c>
      <c r="B18" s="10" t="s">
        <v>507</v>
      </c>
      <c r="C18" t="s">
        <v>657</v>
      </c>
      <c r="D18" s="11">
        <v>17</v>
      </c>
      <c r="E18" s="9">
        <v>1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1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6">
        <v>3</v>
      </c>
    </row>
    <row r="19" spans="1:19" x14ac:dyDescent="0.25">
      <c r="A19">
        <v>17</v>
      </c>
      <c r="B19" s="10" t="s">
        <v>508</v>
      </c>
      <c r="C19" t="s">
        <v>658</v>
      </c>
      <c r="D19" s="11">
        <v>18</v>
      </c>
      <c r="E19" s="9">
        <v>1</v>
      </c>
      <c r="F19" s="9">
        <v>1</v>
      </c>
      <c r="G19" s="9">
        <v>0</v>
      </c>
      <c r="H19" s="9">
        <v>0</v>
      </c>
      <c r="I19" s="9">
        <v>0</v>
      </c>
      <c r="J19" s="9">
        <v>0</v>
      </c>
      <c r="K19" s="9">
        <v>1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6">
        <v>3</v>
      </c>
    </row>
    <row r="20" spans="1:19" x14ac:dyDescent="0.25">
      <c r="A20">
        <v>18</v>
      </c>
      <c r="B20" s="123" t="s">
        <v>430</v>
      </c>
      <c r="C20" s="20" t="s">
        <v>691</v>
      </c>
      <c r="D20" s="134">
        <v>19</v>
      </c>
      <c r="E20" s="124">
        <v>2</v>
      </c>
      <c r="F20" s="124">
        <v>1</v>
      </c>
      <c r="G20" s="124">
        <v>1</v>
      </c>
      <c r="H20" s="124">
        <v>0</v>
      </c>
      <c r="I20" s="124">
        <v>0</v>
      </c>
      <c r="J20" s="124">
        <v>0</v>
      </c>
      <c r="K20" s="124">
        <v>2</v>
      </c>
      <c r="L20" s="124">
        <v>0</v>
      </c>
      <c r="M20" s="124">
        <v>0</v>
      </c>
      <c r="N20" s="124">
        <v>0</v>
      </c>
      <c r="O20" s="124">
        <v>0</v>
      </c>
      <c r="P20" s="124">
        <v>0</v>
      </c>
      <c r="Q20" s="124">
        <v>0</v>
      </c>
      <c r="R20" s="124">
        <v>0</v>
      </c>
      <c r="S20" s="125">
        <v>6</v>
      </c>
    </row>
    <row r="21" spans="1:19" x14ac:dyDescent="0.25">
      <c r="A21">
        <v>20</v>
      </c>
      <c r="B21" s="10" t="s">
        <v>510</v>
      </c>
      <c r="C21" t="s">
        <v>660</v>
      </c>
      <c r="D21" s="11">
        <v>20</v>
      </c>
      <c r="E21" s="9">
        <v>1</v>
      </c>
      <c r="F21" s="9">
        <v>1</v>
      </c>
      <c r="G21" s="9">
        <v>0</v>
      </c>
      <c r="H21" s="9">
        <v>0</v>
      </c>
      <c r="I21" s="9">
        <v>0</v>
      </c>
      <c r="J21" s="9">
        <v>0</v>
      </c>
      <c r="K21" s="9">
        <v>1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6">
        <v>3</v>
      </c>
    </row>
    <row r="22" spans="1:19" x14ac:dyDescent="0.25">
      <c r="A22">
        <v>21</v>
      </c>
      <c r="B22" s="10" t="s">
        <v>511</v>
      </c>
      <c r="C22" t="s">
        <v>661</v>
      </c>
      <c r="D22" s="11">
        <v>21</v>
      </c>
      <c r="E22" s="9">
        <v>1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1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6">
        <v>3</v>
      </c>
    </row>
    <row r="23" spans="1:19" x14ac:dyDescent="0.25">
      <c r="A23">
        <v>22</v>
      </c>
      <c r="B23" s="10" t="s">
        <v>512</v>
      </c>
      <c r="C23" t="s">
        <v>612</v>
      </c>
      <c r="D23" s="11">
        <v>22</v>
      </c>
      <c r="E23" s="9">
        <v>1</v>
      </c>
      <c r="F23" s="9">
        <v>1</v>
      </c>
      <c r="G23" s="9">
        <v>0</v>
      </c>
      <c r="H23" s="9">
        <v>0</v>
      </c>
      <c r="I23" s="9">
        <v>0</v>
      </c>
      <c r="J23" s="9">
        <v>0</v>
      </c>
      <c r="K23" s="9">
        <v>1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6">
        <v>3</v>
      </c>
    </row>
    <row r="24" spans="1:19" x14ac:dyDescent="0.25">
      <c r="A24">
        <v>23</v>
      </c>
      <c r="B24" s="10" t="s">
        <v>513</v>
      </c>
      <c r="C24" t="s">
        <v>662</v>
      </c>
      <c r="D24" s="11">
        <v>23</v>
      </c>
      <c r="E24" s="9">
        <v>1</v>
      </c>
      <c r="F24" s="9">
        <v>1</v>
      </c>
      <c r="G24" s="9">
        <v>0</v>
      </c>
      <c r="H24" s="9">
        <v>1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6">
        <v>3</v>
      </c>
    </row>
    <row r="25" spans="1:19" x14ac:dyDescent="0.25">
      <c r="A25">
        <v>24</v>
      </c>
      <c r="B25" s="12" t="s">
        <v>427</v>
      </c>
      <c r="C25" t="s">
        <v>656</v>
      </c>
      <c r="D25" s="11">
        <v>24</v>
      </c>
      <c r="E25" s="9">
        <v>0</v>
      </c>
      <c r="F25" s="9">
        <v>0</v>
      </c>
      <c r="G25" s="9">
        <v>1</v>
      </c>
      <c r="H25" s="9">
        <v>0</v>
      </c>
      <c r="I25" s="9">
        <v>0</v>
      </c>
      <c r="J25" s="9">
        <v>0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6">
        <v>2</v>
      </c>
    </row>
    <row r="26" spans="1:19" x14ac:dyDescent="0.25">
      <c r="A26">
        <v>25</v>
      </c>
      <c r="B26" s="12" t="s">
        <v>521</v>
      </c>
      <c r="C26" t="s">
        <v>615</v>
      </c>
      <c r="D26" s="11">
        <v>25</v>
      </c>
      <c r="E26" s="9">
        <v>1</v>
      </c>
      <c r="F26" s="9">
        <v>1</v>
      </c>
      <c r="G26" s="9">
        <v>0</v>
      </c>
      <c r="H26" s="9">
        <v>0</v>
      </c>
      <c r="I26" s="9">
        <v>1</v>
      </c>
      <c r="J26" s="9">
        <v>0</v>
      </c>
      <c r="K26" s="9">
        <v>1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6">
        <v>4</v>
      </c>
    </row>
    <row r="27" spans="1:19" x14ac:dyDescent="0.25">
      <c r="A27">
        <v>26</v>
      </c>
      <c r="B27" s="12" t="s">
        <v>147</v>
      </c>
      <c r="C27" t="s">
        <v>650</v>
      </c>
      <c r="D27" s="11">
        <v>26</v>
      </c>
      <c r="E27" s="9">
        <v>1</v>
      </c>
      <c r="F27" s="9">
        <v>1</v>
      </c>
      <c r="G27" s="9">
        <v>1</v>
      </c>
      <c r="H27" s="9">
        <v>0</v>
      </c>
      <c r="I27" s="9">
        <v>1</v>
      </c>
      <c r="J27" s="9">
        <v>0</v>
      </c>
      <c r="K27" s="9">
        <v>1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6">
        <v>5</v>
      </c>
    </row>
    <row r="28" spans="1:19" x14ac:dyDescent="0.25">
      <c r="A28">
        <v>27</v>
      </c>
      <c r="B28" s="12" t="s">
        <v>441</v>
      </c>
      <c r="C28" t="s">
        <v>668</v>
      </c>
      <c r="D28" s="11">
        <v>27</v>
      </c>
      <c r="E28" s="9">
        <v>1</v>
      </c>
      <c r="F28" s="9">
        <v>1</v>
      </c>
      <c r="G28" s="9">
        <v>0</v>
      </c>
      <c r="H28" s="9">
        <v>0</v>
      </c>
      <c r="I28" s="9">
        <v>0</v>
      </c>
      <c r="J28" s="9">
        <v>1</v>
      </c>
      <c r="K28" s="9">
        <v>1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6">
        <v>4</v>
      </c>
    </row>
    <row r="29" spans="1:19" x14ac:dyDescent="0.25">
      <c r="A29">
        <v>28</v>
      </c>
      <c r="B29" s="12" t="s">
        <v>522</v>
      </c>
      <c r="C29" t="s">
        <v>617</v>
      </c>
      <c r="D29" s="11">
        <v>28</v>
      </c>
      <c r="E29" s="9">
        <v>1</v>
      </c>
      <c r="F29" s="9">
        <v>1</v>
      </c>
      <c r="G29" s="9">
        <v>1</v>
      </c>
      <c r="H29" s="9">
        <v>1</v>
      </c>
      <c r="I29" s="9">
        <v>1</v>
      </c>
      <c r="J29" s="9">
        <v>0</v>
      </c>
      <c r="K29" s="9">
        <v>1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6">
        <v>6</v>
      </c>
    </row>
    <row r="30" spans="1:19" x14ac:dyDescent="0.25">
      <c r="A30">
        <v>29</v>
      </c>
      <c r="B30" s="10" t="s">
        <v>509</v>
      </c>
      <c r="C30" t="s">
        <v>659</v>
      </c>
      <c r="D30" s="11">
        <v>29</v>
      </c>
      <c r="E30" s="9">
        <v>1</v>
      </c>
      <c r="F30" s="9">
        <v>1</v>
      </c>
      <c r="G30" s="9">
        <v>0</v>
      </c>
      <c r="H30" s="9">
        <v>0</v>
      </c>
      <c r="I30" s="9">
        <v>0</v>
      </c>
      <c r="J30" s="9">
        <v>0</v>
      </c>
      <c r="K30" s="9">
        <v>1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6">
        <v>3</v>
      </c>
    </row>
    <row r="31" spans="1:19" x14ac:dyDescent="0.25">
      <c r="A31">
        <v>30</v>
      </c>
      <c r="B31" s="126" t="s">
        <v>74</v>
      </c>
      <c r="C31" s="120" t="s">
        <v>614</v>
      </c>
      <c r="D31" s="136">
        <v>30</v>
      </c>
      <c r="E31" s="127">
        <v>3</v>
      </c>
      <c r="F31" s="127">
        <v>1</v>
      </c>
      <c r="G31" s="127">
        <v>3</v>
      </c>
      <c r="H31" s="127">
        <v>0</v>
      </c>
      <c r="I31" s="127">
        <v>3</v>
      </c>
      <c r="J31" s="127">
        <v>0</v>
      </c>
      <c r="K31" s="127">
        <v>2</v>
      </c>
      <c r="L31" s="127">
        <v>0</v>
      </c>
      <c r="M31" s="127">
        <v>2</v>
      </c>
      <c r="N31" s="127">
        <v>0</v>
      </c>
      <c r="O31" s="127">
        <v>0</v>
      </c>
      <c r="P31" s="127">
        <v>0</v>
      </c>
      <c r="Q31" s="127">
        <v>0</v>
      </c>
      <c r="R31" s="127">
        <v>0</v>
      </c>
      <c r="S31" s="128">
        <v>14</v>
      </c>
    </row>
    <row r="32" spans="1:19" x14ac:dyDescent="0.25">
      <c r="A32">
        <v>31</v>
      </c>
      <c r="B32" s="10" t="s">
        <v>523</v>
      </c>
      <c r="C32" t="s">
        <v>648</v>
      </c>
      <c r="D32" s="11">
        <v>31</v>
      </c>
      <c r="E32" s="9">
        <v>1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1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6">
        <v>2</v>
      </c>
    </row>
    <row r="33" spans="1:19" x14ac:dyDescent="0.25">
      <c r="A33">
        <v>32</v>
      </c>
      <c r="B33" s="123" t="s">
        <v>450</v>
      </c>
      <c r="C33" s="20" t="s">
        <v>671</v>
      </c>
      <c r="D33" s="134">
        <v>32</v>
      </c>
      <c r="E33" s="124">
        <v>2</v>
      </c>
      <c r="F33" s="124">
        <v>2</v>
      </c>
      <c r="G33" s="124">
        <v>2</v>
      </c>
      <c r="H33" s="124">
        <v>0</v>
      </c>
      <c r="I33" s="124">
        <v>0</v>
      </c>
      <c r="J33" s="124">
        <v>0</v>
      </c>
      <c r="K33" s="124">
        <v>2</v>
      </c>
      <c r="L33" s="124">
        <v>0</v>
      </c>
      <c r="M33" s="124">
        <v>0</v>
      </c>
      <c r="N33" s="124">
        <v>2</v>
      </c>
      <c r="O33" s="124">
        <v>0</v>
      </c>
      <c r="P33" s="124">
        <v>0</v>
      </c>
      <c r="Q33" s="124">
        <v>0</v>
      </c>
      <c r="R33" s="124">
        <v>0</v>
      </c>
      <c r="S33" s="125">
        <v>10</v>
      </c>
    </row>
    <row r="34" spans="1:19" x14ac:dyDescent="0.25">
      <c r="A34">
        <v>33</v>
      </c>
      <c r="B34" s="123" t="s">
        <v>449</v>
      </c>
      <c r="C34" s="20" t="s">
        <v>670</v>
      </c>
      <c r="D34" s="134">
        <v>33</v>
      </c>
      <c r="E34" s="124">
        <v>2</v>
      </c>
      <c r="F34" s="124">
        <v>2</v>
      </c>
      <c r="G34" s="124">
        <v>2</v>
      </c>
      <c r="H34" s="124">
        <v>0</v>
      </c>
      <c r="I34" s="124">
        <v>0</v>
      </c>
      <c r="J34" s="124">
        <v>0</v>
      </c>
      <c r="K34" s="124">
        <v>2</v>
      </c>
      <c r="L34" s="124">
        <v>0</v>
      </c>
      <c r="M34" s="124">
        <v>0</v>
      </c>
      <c r="N34" s="124">
        <v>2</v>
      </c>
      <c r="O34" s="124">
        <v>0</v>
      </c>
      <c r="P34" s="124">
        <v>0</v>
      </c>
      <c r="Q34" s="124">
        <v>0</v>
      </c>
      <c r="R34" s="124">
        <v>0</v>
      </c>
      <c r="S34" s="125">
        <v>10</v>
      </c>
    </row>
    <row r="35" spans="1:19" x14ac:dyDescent="0.25">
      <c r="A35">
        <v>34</v>
      </c>
      <c r="B35" s="10" t="s">
        <v>524</v>
      </c>
      <c r="C35" t="s">
        <v>643</v>
      </c>
      <c r="D35" s="11">
        <v>34</v>
      </c>
      <c r="E35" s="9">
        <v>1</v>
      </c>
      <c r="F35" s="9">
        <v>1</v>
      </c>
      <c r="G35" s="9">
        <v>1</v>
      </c>
      <c r="H35" s="9">
        <v>0</v>
      </c>
      <c r="I35" s="9">
        <v>0</v>
      </c>
      <c r="J35" s="9">
        <v>0</v>
      </c>
      <c r="K35" s="9">
        <v>1</v>
      </c>
      <c r="L35" s="9">
        <v>0</v>
      </c>
      <c r="M35" s="9">
        <v>0</v>
      </c>
      <c r="N35" s="9">
        <v>1</v>
      </c>
      <c r="O35" s="9">
        <v>0</v>
      </c>
      <c r="P35" s="9">
        <v>0</v>
      </c>
      <c r="Q35" s="9">
        <v>0</v>
      </c>
      <c r="R35" s="9">
        <v>0</v>
      </c>
      <c r="S35" s="6">
        <v>5</v>
      </c>
    </row>
    <row r="36" spans="1:19" x14ac:dyDescent="0.25">
      <c r="A36">
        <v>35</v>
      </c>
      <c r="B36" s="10" t="s">
        <v>525</v>
      </c>
      <c r="C36" t="s">
        <v>644</v>
      </c>
      <c r="D36" s="11">
        <v>35</v>
      </c>
      <c r="E36" s="9">
        <v>1</v>
      </c>
      <c r="F36" s="9">
        <v>0</v>
      </c>
      <c r="G36" s="9">
        <v>1</v>
      </c>
      <c r="H36" s="9">
        <v>0</v>
      </c>
      <c r="I36" s="9">
        <v>0</v>
      </c>
      <c r="J36" s="9">
        <v>0</v>
      </c>
      <c r="K36" s="9">
        <v>1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6">
        <v>3</v>
      </c>
    </row>
    <row r="37" spans="1:19" x14ac:dyDescent="0.25">
      <c r="A37">
        <v>36</v>
      </c>
      <c r="B37" s="10" t="s">
        <v>335</v>
      </c>
      <c r="C37" t="s">
        <v>610</v>
      </c>
      <c r="D37" s="11">
        <v>36</v>
      </c>
      <c r="E37" s="9">
        <v>1</v>
      </c>
      <c r="F37" s="9">
        <v>1</v>
      </c>
      <c r="G37" s="9">
        <v>1</v>
      </c>
      <c r="H37" s="9">
        <v>1</v>
      </c>
      <c r="I37" s="9">
        <v>0</v>
      </c>
      <c r="J37" s="9">
        <v>1</v>
      </c>
      <c r="K37" s="9">
        <v>1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1</v>
      </c>
      <c r="R37" s="9">
        <v>0</v>
      </c>
      <c r="S37" s="6">
        <v>7</v>
      </c>
    </row>
    <row r="38" spans="1:19" x14ac:dyDescent="0.25">
      <c r="A38">
        <v>37</v>
      </c>
      <c r="B38" s="132" t="s">
        <v>119</v>
      </c>
      <c r="C38" s="119" t="s">
        <v>628</v>
      </c>
      <c r="D38" s="135">
        <v>37</v>
      </c>
      <c r="E38" s="130">
        <v>2</v>
      </c>
      <c r="F38" s="130">
        <v>3</v>
      </c>
      <c r="G38" s="130">
        <v>3</v>
      </c>
      <c r="H38" s="130">
        <v>1</v>
      </c>
      <c r="I38" s="130">
        <v>1</v>
      </c>
      <c r="J38" s="130">
        <v>0</v>
      </c>
      <c r="K38" s="130">
        <v>0</v>
      </c>
      <c r="L38" s="130">
        <v>0</v>
      </c>
      <c r="M38" s="130">
        <v>0</v>
      </c>
      <c r="N38" s="130">
        <v>0</v>
      </c>
      <c r="O38" s="130">
        <v>0</v>
      </c>
      <c r="P38" s="130">
        <v>0</v>
      </c>
      <c r="Q38" s="130">
        <v>0</v>
      </c>
      <c r="R38" s="130">
        <v>0</v>
      </c>
      <c r="S38" s="131">
        <v>10</v>
      </c>
    </row>
    <row r="39" spans="1:19" x14ac:dyDescent="0.25">
      <c r="A39">
        <v>38</v>
      </c>
      <c r="B39" s="137" t="s">
        <v>36</v>
      </c>
      <c r="C39" s="121" t="s">
        <v>606</v>
      </c>
      <c r="D39" s="138">
        <v>38</v>
      </c>
      <c r="E39" s="139">
        <v>11</v>
      </c>
      <c r="F39" s="139">
        <v>10</v>
      </c>
      <c r="G39" s="139">
        <v>12</v>
      </c>
      <c r="H39" s="139">
        <v>7</v>
      </c>
      <c r="I39" s="139">
        <v>7</v>
      </c>
      <c r="J39" s="139">
        <v>3</v>
      </c>
      <c r="K39" s="139">
        <v>0</v>
      </c>
      <c r="L39" s="139">
        <v>5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</v>
      </c>
      <c r="S39" s="140">
        <v>55</v>
      </c>
    </row>
    <row r="40" spans="1:19" x14ac:dyDescent="0.25">
      <c r="A40">
        <v>39</v>
      </c>
      <c r="B40" s="12" t="s">
        <v>526</v>
      </c>
      <c r="C40" t="s">
        <v>603</v>
      </c>
      <c r="D40" s="11">
        <v>39</v>
      </c>
      <c r="E40" s="9">
        <v>1</v>
      </c>
      <c r="F40" s="9">
        <v>1</v>
      </c>
      <c r="G40" s="9">
        <v>1</v>
      </c>
      <c r="H40" s="9">
        <v>1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6">
        <v>4</v>
      </c>
    </row>
    <row r="41" spans="1:19" x14ac:dyDescent="0.25">
      <c r="A41">
        <v>40</v>
      </c>
      <c r="B41" s="123" t="s">
        <v>61</v>
      </c>
      <c r="C41" s="20" t="s">
        <v>611</v>
      </c>
      <c r="D41" s="134">
        <v>40</v>
      </c>
      <c r="E41" s="124">
        <v>2</v>
      </c>
      <c r="F41" s="124">
        <v>2</v>
      </c>
      <c r="G41" s="124">
        <v>2</v>
      </c>
      <c r="H41" s="124">
        <v>0</v>
      </c>
      <c r="I41" s="124">
        <v>2</v>
      </c>
      <c r="J41" s="124">
        <v>0</v>
      </c>
      <c r="K41" s="124">
        <v>0</v>
      </c>
      <c r="L41" s="124">
        <v>0</v>
      </c>
      <c r="M41" s="124">
        <v>0</v>
      </c>
      <c r="N41" s="124">
        <v>0</v>
      </c>
      <c r="O41" s="124">
        <v>0</v>
      </c>
      <c r="P41" s="124">
        <v>0</v>
      </c>
      <c r="Q41" s="124">
        <v>0</v>
      </c>
      <c r="R41" s="124">
        <v>0</v>
      </c>
      <c r="S41" s="125">
        <v>8</v>
      </c>
    </row>
    <row r="42" spans="1:19" x14ac:dyDescent="0.25">
      <c r="A42">
        <v>41</v>
      </c>
      <c r="B42" s="12" t="s">
        <v>192</v>
      </c>
      <c r="C42" t="s">
        <v>655</v>
      </c>
      <c r="D42" s="11">
        <v>41</v>
      </c>
      <c r="E42" s="9">
        <v>1</v>
      </c>
      <c r="F42" s="9">
        <v>1</v>
      </c>
      <c r="G42" s="9">
        <v>1</v>
      </c>
      <c r="H42" s="9">
        <v>0</v>
      </c>
      <c r="I42" s="9">
        <v>1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6">
        <v>4</v>
      </c>
    </row>
    <row r="43" spans="1:19" x14ac:dyDescent="0.25">
      <c r="A43">
        <v>42</v>
      </c>
      <c r="B43" s="10" t="s">
        <v>385</v>
      </c>
      <c r="C43" t="s">
        <v>633</v>
      </c>
      <c r="D43" s="11">
        <v>42</v>
      </c>
      <c r="E43" s="9">
        <v>1</v>
      </c>
      <c r="F43" s="9">
        <v>1</v>
      </c>
      <c r="G43" s="9">
        <v>1</v>
      </c>
      <c r="H43" s="9">
        <v>1</v>
      </c>
      <c r="I43" s="9">
        <v>0</v>
      </c>
      <c r="J43" s="9">
        <v>1</v>
      </c>
      <c r="K43" s="9">
        <v>0</v>
      </c>
      <c r="L43" s="9">
        <v>1</v>
      </c>
      <c r="M43" s="9">
        <v>1</v>
      </c>
      <c r="N43" s="9">
        <v>0</v>
      </c>
      <c r="O43" s="9">
        <v>1</v>
      </c>
      <c r="P43" s="9">
        <v>0</v>
      </c>
      <c r="Q43" s="9">
        <v>0</v>
      </c>
      <c r="R43" s="9">
        <v>0</v>
      </c>
      <c r="S43" s="6">
        <v>8</v>
      </c>
    </row>
    <row r="44" spans="1:19" x14ac:dyDescent="0.25">
      <c r="A44">
        <v>43</v>
      </c>
      <c r="B44" s="10" t="s">
        <v>528</v>
      </c>
      <c r="C44" t="s">
        <v>633</v>
      </c>
      <c r="D44" s="11">
        <v>43</v>
      </c>
      <c r="E44" s="9">
        <v>1</v>
      </c>
      <c r="F44" s="9">
        <v>1</v>
      </c>
      <c r="G44" s="9">
        <v>1</v>
      </c>
      <c r="H44" s="9">
        <v>1</v>
      </c>
      <c r="I44" s="9">
        <v>0</v>
      </c>
      <c r="J44" s="9">
        <v>1</v>
      </c>
      <c r="K44" s="9">
        <v>0</v>
      </c>
      <c r="L44" s="9">
        <v>0</v>
      </c>
      <c r="M44" s="9">
        <v>1</v>
      </c>
      <c r="N44" s="9">
        <v>0</v>
      </c>
      <c r="O44" s="9">
        <v>1</v>
      </c>
      <c r="P44" s="9">
        <v>0</v>
      </c>
      <c r="Q44" s="9">
        <v>0</v>
      </c>
      <c r="R44" s="9">
        <v>0</v>
      </c>
      <c r="S44" s="6">
        <v>7</v>
      </c>
    </row>
    <row r="45" spans="1:19" x14ac:dyDescent="0.25">
      <c r="A45">
        <v>44</v>
      </c>
      <c r="B45" s="12" t="s">
        <v>527</v>
      </c>
      <c r="C45" t="s">
        <v>616</v>
      </c>
      <c r="D45" s="11">
        <v>44</v>
      </c>
      <c r="E45" s="9">
        <v>1</v>
      </c>
      <c r="F45" s="9">
        <v>1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6">
        <v>2</v>
      </c>
    </row>
    <row r="46" spans="1:19" x14ac:dyDescent="0.25">
      <c r="A46">
        <v>45</v>
      </c>
      <c r="B46" s="12" t="s">
        <v>529</v>
      </c>
      <c r="C46" t="s">
        <v>880</v>
      </c>
      <c r="D46" s="11">
        <v>45</v>
      </c>
      <c r="E46" s="9">
        <v>1</v>
      </c>
      <c r="F46" s="9">
        <v>1</v>
      </c>
      <c r="G46" s="9">
        <v>1</v>
      </c>
      <c r="H46" s="9">
        <v>0</v>
      </c>
      <c r="I46" s="9">
        <v>0</v>
      </c>
      <c r="J46" s="9">
        <v>1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6">
        <v>4</v>
      </c>
    </row>
    <row r="47" spans="1:19" x14ac:dyDescent="0.25">
      <c r="A47">
        <v>46</v>
      </c>
      <c r="B47" s="12" t="s">
        <v>530</v>
      </c>
      <c r="C47" t="s">
        <v>665</v>
      </c>
      <c r="D47" s="11">
        <v>46</v>
      </c>
      <c r="E47" s="9">
        <v>1</v>
      </c>
      <c r="F47" s="9">
        <v>1</v>
      </c>
      <c r="G47" s="9">
        <v>1</v>
      </c>
      <c r="H47" s="9">
        <v>0</v>
      </c>
      <c r="I47" s="9">
        <v>0</v>
      </c>
      <c r="J47" s="9">
        <v>1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6">
        <v>4</v>
      </c>
    </row>
    <row r="48" spans="1:19" x14ac:dyDescent="0.25">
      <c r="A48">
        <v>47</v>
      </c>
      <c r="B48" s="10" t="s">
        <v>531</v>
      </c>
      <c r="C48" t="s">
        <v>881</v>
      </c>
      <c r="D48" s="11">
        <v>47</v>
      </c>
      <c r="E48" s="9">
        <v>1</v>
      </c>
      <c r="F48" s="9">
        <v>1</v>
      </c>
      <c r="G48" s="9">
        <v>1</v>
      </c>
      <c r="H48" s="9">
        <v>1</v>
      </c>
      <c r="I48" s="9">
        <v>0</v>
      </c>
      <c r="J48" s="9">
        <v>1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6">
        <v>5</v>
      </c>
    </row>
    <row r="49" spans="1:19" x14ac:dyDescent="0.25">
      <c r="A49">
        <v>48</v>
      </c>
      <c r="B49" s="10" t="s">
        <v>532</v>
      </c>
      <c r="C49" t="s">
        <v>636</v>
      </c>
      <c r="D49" s="11">
        <v>48</v>
      </c>
      <c r="E49" s="9">
        <v>1</v>
      </c>
      <c r="F49" s="9">
        <v>1</v>
      </c>
      <c r="G49" s="9">
        <v>0</v>
      </c>
      <c r="H49" s="9">
        <v>1</v>
      </c>
      <c r="I49" s="9">
        <v>0</v>
      </c>
      <c r="J49" s="9">
        <v>1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6">
        <v>4</v>
      </c>
    </row>
    <row r="50" spans="1:19" x14ac:dyDescent="0.25">
      <c r="A50">
        <v>49</v>
      </c>
      <c r="B50" s="10" t="s">
        <v>533</v>
      </c>
      <c r="C50" t="s">
        <v>637</v>
      </c>
      <c r="D50" s="11">
        <v>49</v>
      </c>
      <c r="E50" s="9">
        <v>1</v>
      </c>
      <c r="F50" s="9">
        <v>1</v>
      </c>
      <c r="G50" s="9">
        <v>0</v>
      </c>
      <c r="H50" s="9">
        <v>1</v>
      </c>
      <c r="I50" s="9">
        <v>0</v>
      </c>
      <c r="J50" s="9">
        <v>1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6">
        <v>4</v>
      </c>
    </row>
    <row r="51" spans="1:19" x14ac:dyDescent="0.25">
      <c r="A51">
        <v>50</v>
      </c>
      <c r="B51" s="10" t="s">
        <v>534</v>
      </c>
      <c r="C51" t="s">
        <v>882</v>
      </c>
      <c r="D51" s="11">
        <v>50</v>
      </c>
      <c r="E51" s="9">
        <v>1</v>
      </c>
      <c r="F51" s="9">
        <v>1</v>
      </c>
      <c r="G51" s="9">
        <v>0</v>
      </c>
      <c r="H51" s="9">
        <v>1</v>
      </c>
      <c r="I51" s="9">
        <v>0</v>
      </c>
      <c r="J51" s="9">
        <v>1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6">
        <v>4</v>
      </c>
    </row>
    <row r="52" spans="1:19" x14ac:dyDescent="0.25">
      <c r="A52">
        <v>51</v>
      </c>
      <c r="B52" s="10" t="s">
        <v>581</v>
      </c>
      <c r="C52" t="s">
        <v>640</v>
      </c>
      <c r="D52" s="11">
        <v>51</v>
      </c>
      <c r="E52" s="9">
        <v>1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1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6">
        <v>2</v>
      </c>
    </row>
    <row r="53" spans="1:19" x14ac:dyDescent="0.25">
      <c r="A53">
        <v>52</v>
      </c>
      <c r="B53" s="10" t="s">
        <v>582</v>
      </c>
      <c r="C53" t="s">
        <v>883</v>
      </c>
      <c r="D53" s="11">
        <v>52</v>
      </c>
      <c r="E53" s="9">
        <v>1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1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6">
        <v>2</v>
      </c>
    </row>
    <row r="54" spans="1:19" ht="30" x14ac:dyDescent="0.25">
      <c r="A54">
        <v>53</v>
      </c>
      <c r="B54" s="10" t="s">
        <v>535</v>
      </c>
      <c r="C54" t="s">
        <v>884</v>
      </c>
      <c r="D54" s="11">
        <v>53</v>
      </c>
      <c r="E54" s="9">
        <v>1</v>
      </c>
      <c r="F54" s="9">
        <v>1</v>
      </c>
      <c r="G54" s="9">
        <v>0</v>
      </c>
      <c r="H54" s="9">
        <v>1</v>
      </c>
      <c r="I54" s="9">
        <v>0</v>
      </c>
      <c r="J54" s="9">
        <v>1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6">
        <v>4</v>
      </c>
    </row>
    <row r="55" spans="1:19" x14ac:dyDescent="0.25">
      <c r="A55">
        <v>54</v>
      </c>
      <c r="B55" s="12" t="s">
        <v>536</v>
      </c>
      <c r="C55" t="s">
        <v>693</v>
      </c>
      <c r="D55" s="11">
        <v>54</v>
      </c>
      <c r="E55" s="9">
        <v>1</v>
      </c>
      <c r="F55" s="9">
        <v>1</v>
      </c>
      <c r="G55" s="9">
        <v>1</v>
      </c>
      <c r="H55" s="9">
        <v>1</v>
      </c>
      <c r="I55" s="9">
        <v>0</v>
      </c>
      <c r="J55" s="9">
        <v>1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6">
        <v>5</v>
      </c>
    </row>
    <row r="56" spans="1:19" ht="30" x14ac:dyDescent="0.25">
      <c r="A56">
        <v>55</v>
      </c>
      <c r="B56" s="12" t="s">
        <v>537</v>
      </c>
      <c r="C56" t="s">
        <v>664</v>
      </c>
      <c r="D56" s="11">
        <v>55</v>
      </c>
      <c r="E56" s="9">
        <v>1</v>
      </c>
      <c r="F56" s="9">
        <v>1</v>
      </c>
      <c r="G56" s="9">
        <v>1</v>
      </c>
      <c r="H56" s="9">
        <v>0</v>
      </c>
      <c r="I56" s="9">
        <v>0</v>
      </c>
      <c r="J56" s="9">
        <v>1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6">
        <v>4</v>
      </c>
    </row>
    <row r="57" spans="1:19" x14ac:dyDescent="0.25">
      <c r="A57">
        <v>56</v>
      </c>
      <c r="B57" s="10" t="s">
        <v>681</v>
      </c>
      <c r="C57" t="s">
        <v>651</v>
      </c>
      <c r="D57" s="11">
        <v>56</v>
      </c>
      <c r="E57" s="9">
        <v>0</v>
      </c>
      <c r="F57" s="9">
        <v>1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6">
        <v>1</v>
      </c>
    </row>
    <row r="58" spans="1:19" x14ac:dyDescent="0.25">
      <c r="A58">
        <v>57</v>
      </c>
      <c r="B58" s="129" t="s">
        <v>684</v>
      </c>
      <c r="C58" s="119" t="s">
        <v>635</v>
      </c>
      <c r="D58" s="135">
        <v>57</v>
      </c>
      <c r="E58" s="130">
        <v>3</v>
      </c>
      <c r="F58" s="130">
        <v>3</v>
      </c>
      <c r="G58" s="130">
        <v>0</v>
      </c>
      <c r="H58" s="130">
        <v>0</v>
      </c>
      <c r="I58" s="130">
        <v>1</v>
      </c>
      <c r="J58" s="130">
        <v>0</v>
      </c>
      <c r="K58" s="130">
        <v>0</v>
      </c>
      <c r="L58" s="130">
        <v>3</v>
      </c>
      <c r="M58" s="130">
        <v>0</v>
      </c>
      <c r="N58" s="130">
        <v>0</v>
      </c>
      <c r="O58" s="130">
        <v>0</v>
      </c>
      <c r="P58" s="130">
        <v>0</v>
      </c>
      <c r="Q58" s="130">
        <v>0</v>
      </c>
      <c r="R58" s="130">
        <v>0</v>
      </c>
      <c r="S58" s="131">
        <v>10</v>
      </c>
    </row>
    <row r="59" spans="1:19" x14ac:dyDescent="0.25">
      <c r="A59">
        <v>58</v>
      </c>
      <c r="B59" s="10" t="s">
        <v>685</v>
      </c>
      <c r="C59" t="s">
        <v>629</v>
      </c>
      <c r="D59" s="11">
        <v>58</v>
      </c>
      <c r="E59" s="9">
        <v>1</v>
      </c>
      <c r="F59" s="9">
        <v>0</v>
      </c>
      <c r="G59" s="9">
        <v>0</v>
      </c>
      <c r="H59" s="9">
        <v>0</v>
      </c>
      <c r="I59" s="9">
        <v>0</v>
      </c>
      <c r="J59" s="9">
        <v>1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6">
        <v>2</v>
      </c>
    </row>
    <row r="60" spans="1:19" x14ac:dyDescent="0.25">
      <c r="A60">
        <v>59</v>
      </c>
      <c r="B60" s="10" t="s">
        <v>683</v>
      </c>
      <c r="C60" t="s">
        <v>885</v>
      </c>
      <c r="D60" s="11">
        <v>59</v>
      </c>
      <c r="E60" s="9">
        <v>1</v>
      </c>
      <c r="F60" s="9">
        <v>0</v>
      </c>
      <c r="G60" s="9">
        <v>1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6">
        <v>2</v>
      </c>
    </row>
    <row r="61" spans="1:19" x14ac:dyDescent="0.25">
      <c r="A61">
        <v>60</v>
      </c>
      <c r="B61" s="10" t="s">
        <v>686</v>
      </c>
      <c r="C61" t="s">
        <v>672</v>
      </c>
      <c r="D61" s="11">
        <v>60</v>
      </c>
      <c r="E61" s="9">
        <v>1</v>
      </c>
      <c r="F61" s="9">
        <v>1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1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6">
        <v>3</v>
      </c>
    </row>
    <row r="62" spans="1:19" x14ac:dyDescent="0.25">
      <c r="A62">
        <v>61</v>
      </c>
      <c r="B62" s="129" t="s">
        <v>687</v>
      </c>
      <c r="C62" s="119" t="s">
        <v>647</v>
      </c>
      <c r="D62" s="135">
        <v>61</v>
      </c>
      <c r="E62" s="130">
        <v>3</v>
      </c>
      <c r="F62" s="130">
        <v>3</v>
      </c>
      <c r="G62" s="130">
        <v>0</v>
      </c>
      <c r="H62" s="130">
        <v>0</v>
      </c>
      <c r="I62" s="130">
        <v>0</v>
      </c>
      <c r="J62" s="130">
        <v>2</v>
      </c>
      <c r="K62" s="130">
        <v>0</v>
      </c>
      <c r="L62" s="130">
        <v>1</v>
      </c>
      <c r="M62" s="130">
        <v>1</v>
      </c>
      <c r="N62" s="130">
        <v>0</v>
      </c>
      <c r="O62" s="130">
        <v>1</v>
      </c>
      <c r="P62" s="130">
        <v>1</v>
      </c>
      <c r="Q62" s="130">
        <v>0</v>
      </c>
      <c r="R62" s="130">
        <v>0</v>
      </c>
      <c r="S62" s="131">
        <v>12</v>
      </c>
    </row>
    <row r="63" spans="1:19" x14ac:dyDescent="0.25">
      <c r="A63">
        <v>62</v>
      </c>
      <c r="B63" s="10" t="s">
        <v>688</v>
      </c>
      <c r="C63" t="s">
        <v>879</v>
      </c>
      <c r="D63" s="11">
        <v>62</v>
      </c>
      <c r="E63" s="9">
        <v>1</v>
      </c>
      <c r="F63" s="9">
        <v>1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6">
        <v>2</v>
      </c>
    </row>
    <row r="64" spans="1:19" x14ac:dyDescent="0.25">
      <c r="A64">
        <v>63</v>
      </c>
      <c r="B64" s="10" t="s">
        <v>689</v>
      </c>
      <c r="C64" t="s">
        <v>649</v>
      </c>
      <c r="D64" s="11">
        <v>63</v>
      </c>
      <c r="E64" s="9">
        <v>0</v>
      </c>
      <c r="F64" s="9">
        <v>1</v>
      </c>
      <c r="G64" s="9">
        <v>0</v>
      </c>
      <c r="H64" s="9">
        <v>0</v>
      </c>
      <c r="I64" s="9">
        <v>1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6">
        <v>2</v>
      </c>
    </row>
    <row r="65" spans="1:19" x14ac:dyDescent="0.25">
      <c r="A65">
        <v>64</v>
      </c>
      <c r="B65" s="10" t="s">
        <v>690</v>
      </c>
      <c r="C65" t="s">
        <v>678</v>
      </c>
      <c r="D65" s="11">
        <v>64</v>
      </c>
      <c r="E65" s="9">
        <v>1</v>
      </c>
      <c r="F65" s="9">
        <v>1</v>
      </c>
      <c r="G65" s="9">
        <v>0</v>
      </c>
      <c r="H65" s="9">
        <v>1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6">
        <v>3</v>
      </c>
    </row>
    <row r="66" spans="1:19" x14ac:dyDescent="0.25">
      <c r="A66">
        <v>65</v>
      </c>
      <c r="B66" s="118" t="s">
        <v>682</v>
      </c>
      <c r="C66" s="20" t="s">
        <v>625</v>
      </c>
      <c r="D66" s="134">
        <v>65</v>
      </c>
      <c r="E66" s="124">
        <v>1</v>
      </c>
      <c r="F66" s="124">
        <v>2</v>
      </c>
      <c r="G66" s="124">
        <v>1</v>
      </c>
      <c r="H66" s="124">
        <v>2</v>
      </c>
      <c r="I66" s="124">
        <v>1</v>
      </c>
      <c r="J66" s="124">
        <v>1</v>
      </c>
      <c r="K66" s="124">
        <v>0</v>
      </c>
      <c r="L66" s="124">
        <v>0</v>
      </c>
      <c r="M66" s="124">
        <v>0</v>
      </c>
      <c r="N66" s="124">
        <v>1</v>
      </c>
      <c r="O66" s="124">
        <v>0</v>
      </c>
      <c r="P66" s="124">
        <v>0</v>
      </c>
      <c r="Q66" s="124">
        <v>0</v>
      </c>
      <c r="R66" s="124">
        <v>0</v>
      </c>
      <c r="S66" s="125">
        <v>9</v>
      </c>
    </row>
    <row r="67" spans="1:19" x14ac:dyDescent="0.25">
      <c r="A67">
        <v>66</v>
      </c>
      <c r="B67" s="10" t="s">
        <v>538</v>
      </c>
      <c r="C67" t="s">
        <v>673</v>
      </c>
      <c r="D67" s="11">
        <v>66</v>
      </c>
      <c r="E67" s="9">
        <v>1</v>
      </c>
      <c r="F67" s="9">
        <v>1</v>
      </c>
      <c r="G67" s="9">
        <v>1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6">
        <v>3</v>
      </c>
    </row>
    <row r="68" spans="1:19" x14ac:dyDescent="0.25">
      <c r="A68">
        <v>67</v>
      </c>
      <c r="B68" s="10" t="s">
        <v>539</v>
      </c>
      <c r="C68" t="s">
        <v>674</v>
      </c>
      <c r="D68" s="11">
        <v>67</v>
      </c>
      <c r="E68" s="9">
        <v>1</v>
      </c>
      <c r="F68" s="9">
        <v>1</v>
      </c>
      <c r="G68" s="9">
        <v>1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6">
        <v>3</v>
      </c>
    </row>
    <row r="69" spans="1:19" x14ac:dyDescent="0.25">
      <c r="A69">
        <v>68</v>
      </c>
      <c r="B69" s="10" t="s">
        <v>540</v>
      </c>
      <c r="C69" t="s">
        <v>677</v>
      </c>
      <c r="D69" s="11">
        <v>68</v>
      </c>
      <c r="E69" s="9">
        <v>1</v>
      </c>
      <c r="F69" s="9">
        <v>1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1</v>
      </c>
      <c r="Q69" s="9">
        <v>0</v>
      </c>
      <c r="R69" s="9">
        <v>0</v>
      </c>
      <c r="S69" s="6">
        <v>3</v>
      </c>
    </row>
    <row r="70" spans="1:19" x14ac:dyDescent="0.25">
      <c r="A70">
        <v>69</v>
      </c>
      <c r="B70" s="10" t="s">
        <v>541</v>
      </c>
      <c r="C70" t="s">
        <v>652</v>
      </c>
      <c r="D70" s="11">
        <v>69</v>
      </c>
      <c r="E70" s="9">
        <v>1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6">
        <v>1</v>
      </c>
    </row>
    <row r="71" spans="1:19" x14ac:dyDescent="0.25">
      <c r="A71">
        <v>70</v>
      </c>
      <c r="B71" s="118" t="s">
        <v>506</v>
      </c>
      <c r="C71" s="20" t="s">
        <v>639</v>
      </c>
      <c r="D71" s="134">
        <v>70</v>
      </c>
      <c r="E71" s="124">
        <v>0</v>
      </c>
      <c r="F71" s="124">
        <v>2</v>
      </c>
      <c r="G71" s="124">
        <v>0</v>
      </c>
      <c r="H71" s="124">
        <v>0</v>
      </c>
      <c r="I71" s="124">
        <v>0</v>
      </c>
      <c r="J71" s="124">
        <v>0</v>
      </c>
      <c r="K71" s="124">
        <v>0</v>
      </c>
      <c r="L71" s="124">
        <v>0</v>
      </c>
      <c r="M71" s="124">
        <v>0</v>
      </c>
      <c r="N71" s="124">
        <v>0</v>
      </c>
      <c r="O71" s="124">
        <v>0</v>
      </c>
      <c r="P71" s="124">
        <v>0</v>
      </c>
      <c r="Q71" s="124">
        <v>0</v>
      </c>
      <c r="R71" s="124">
        <v>0</v>
      </c>
      <c r="S71" s="125">
        <v>2</v>
      </c>
    </row>
    <row r="72" spans="1:19" x14ac:dyDescent="0.25">
      <c r="A72">
        <v>71</v>
      </c>
      <c r="B72" s="118" t="s">
        <v>542</v>
      </c>
      <c r="C72" s="20" t="s">
        <v>607</v>
      </c>
      <c r="D72" s="134">
        <v>71</v>
      </c>
      <c r="E72" s="124">
        <v>1</v>
      </c>
      <c r="F72" s="124">
        <v>2</v>
      </c>
      <c r="G72" s="124">
        <v>0</v>
      </c>
      <c r="H72" s="124">
        <v>1</v>
      </c>
      <c r="I72" s="124">
        <v>2</v>
      </c>
      <c r="J72" s="124">
        <v>0</v>
      </c>
      <c r="K72" s="124">
        <v>0</v>
      </c>
      <c r="L72" s="124">
        <v>1</v>
      </c>
      <c r="M72" s="124">
        <v>0</v>
      </c>
      <c r="N72" s="124">
        <v>0</v>
      </c>
      <c r="O72" s="124">
        <v>0</v>
      </c>
      <c r="P72" s="124">
        <v>0</v>
      </c>
      <c r="Q72" s="124">
        <v>0</v>
      </c>
      <c r="R72" s="124">
        <v>0</v>
      </c>
      <c r="S72" s="125">
        <v>7</v>
      </c>
    </row>
    <row r="73" spans="1:19" x14ac:dyDescent="0.25">
      <c r="A73">
        <v>73</v>
      </c>
      <c r="B73" s="10" t="s">
        <v>126</v>
      </c>
      <c r="C73" t="s">
        <v>878</v>
      </c>
      <c r="D73" s="11">
        <v>72</v>
      </c>
      <c r="E73" s="9">
        <v>1</v>
      </c>
      <c r="F73" s="9">
        <v>1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6">
        <v>2</v>
      </c>
    </row>
    <row r="74" spans="1:19" x14ac:dyDescent="0.25">
      <c r="A74">
        <v>74</v>
      </c>
      <c r="B74" s="10" t="s">
        <v>543</v>
      </c>
      <c r="C74" t="s">
        <v>624</v>
      </c>
      <c r="D74" s="11">
        <v>73</v>
      </c>
      <c r="E74" s="9">
        <v>1</v>
      </c>
      <c r="F74" s="9">
        <v>1</v>
      </c>
      <c r="G74" s="9">
        <v>0</v>
      </c>
      <c r="H74" s="9">
        <v>1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6">
        <v>3</v>
      </c>
    </row>
    <row r="75" spans="1:19" x14ac:dyDescent="0.25">
      <c r="A75">
        <v>75</v>
      </c>
      <c r="B75" s="10" t="s">
        <v>544</v>
      </c>
      <c r="C75" t="s">
        <v>627</v>
      </c>
      <c r="D75" s="11">
        <v>74</v>
      </c>
      <c r="E75" s="9">
        <v>1</v>
      </c>
      <c r="F75" s="9">
        <v>1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1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6">
        <v>3</v>
      </c>
    </row>
    <row r="76" spans="1:19" x14ac:dyDescent="0.25">
      <c r="A76">
        <v>76</v>
      </c>
      <c r="B76" s="10" t="s">
        <v>545</v>
      </c>
      <c r="C76" t="s">
        <v>667</v>
      </c>
      <c r="D76" s="11">
        <v>75</v>
      </c>
      <c r="E76" s="9">
        <v>1</v>
      </c>
      <c r="F76" s="9">
        <v>1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1</v>
      </c>
      <c r="Q76" s="9">
        <v>0</v>
      </c>
      <c r="R76" s="9">
        <v>0</v>
      </c>
      <c r="S76" s="6">
        <v>3</v>
      </c>
    </row>
    <row r="77" spans="1:19" x14ac:dyDescent="0.25">
      <c r="A77">
        <v>77</v>
      </c>
      <c r="B77" s="10" t="s">
        <v>546</v>
      </c>
      <c r="C77" t="s">
        <v>675</v>
      </c>
      <c r="D77" s="11">
        <v>76</v>
      </c>
      <c r="E77" s="9">
        <v>1</v>
      </c>
      <c r="F77" s="9">
        <v>1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1</v>
      </c>
      <c r="Q77" s="9">
        <v>0</v>
      </c>
      <c r="R77" s="9">
        <v>0</v>
      </c>
      <c r="S77" s="6">
        <v>3</v>
      </c>
    </row>
    <row r="78" spans="1:19" x14ac:dyDescent="0.25">
      <c r="A78">
        <v>78</v>
      </c>
      <c r="B78" s="10" t="s">
        <v>547</v>
      </c>
      <c r="C78" t="s">
        <v>676</v>
      </c>
      <c r="D78" s="11">
        <v>77</v>
      </c>
      <c r="E78" s="9">
        <v>1</v>
      </c>
      <c r="F78" s="9">
        <v>1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1</v>
      </c>
      <c r="Q78" s="9">
        <v>0</v>
      </c>
      <c r="R78" s="9">
        <v>0</v>
      </c>
      <c r="S78" s="6">
        <v>3</v>
      </c>
    </row>
    <row r="79" spans="1:19" x14ac:dyDescent="0.25">
      <c r="A79">
        <v>79</v>
      </c>
      <c r="B79" s="10" t="s">
        <v>548</v>
      </c>
      <c r="C79" t="s">
        <v>630</v>
      </c>
      <c r="D79" s="11">
        <v>78</v>
      </c>
      <c r="E79" s="9">
        <v>1</v>
      </c>
      <c r="F79" s="9">
        <v>1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6">
        <v>2</v>
      </c>
    </row>
    <row r="80" spans="1:19" x14ac:dyDescent="0.25">
      <c r="A80">
        <v>80</v>
      </c>
      <c r="B80" s="118" t="s">
        <v>356</v>
      </c>
      <c r="C80" t="s">
        <v>619</v>
      </c>
      <c r="D80" s="11">
        <v>79</v>
      </c>
      <c r="E80" s="124">
        <v>1</v>
      </c>
      <c r="F80" s="124">
        <v>1</v>
      </c>
      <c r="G80" s="124">
        <v>1</v>
      </c>
      <c r="H80" s="124">
        <v>1</v>
      </c>
      <c r="I80" s="124">
        <v>1</v>
      </c>
      <c r="J80" s="124">
        <v>0</v>
      </c>
      <c r="K80" s="124">
        <v>0</v>
      </c>
      <c r="L80" s="124">
        <v>2</v>
      </c>
      <c r="M80" s="124">
        <v>0</v>
      </c>
      <c r="N80" s="124">
        <v>0</v>
      </c>
      <c r="O80" s="124">
        <v>0</v>
      </c>
      <c r="P80" s="124">
        <v>0</v>
      </c>
      <c r="Q80" s="124">
        <v>0</v>
      </c>
      <c r="R80" s="124">
        <v>0</v>
      </c>
      <c r="S80" s="125">
        <v>7</v>
      </c>
    </row>
    <row r="81" spans="1:19" x14ac:dyDescent="0.25">
      <c r="A81">
        <v>81</v>
      </c>
      <c r="B81" s="10" t="s">
        <v>29</v>
      </c>
      <c r="C81" t="s">
        <v>29</v>
      </c>
      <c r="D81" s="11">
        <v>80</v>
      </c>
      <c r="E81" s="9">
        <v>1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1</v>
      </c>
      <c r="S81" s="6">
        <v>2</v>
      </c>
    </row>
    <row r="83" spans="1:19" x14ac:dyDescent="0.25">
      <c r="Q83"/>
    </row>
  </sheetData>
  <conditionalFormatting sqref="E1:R1048576">
    <cfRule type="cellIs" dxfId="2" priority="1" operator="greaterThan">
      <formula>3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483E1-5878-4999-9497-034578BF746F}">
  <dimension ref="A1:J14"/>
  <sheetViews>
    <sheetView workbookViewId="0">
      <selection sqref="A1:J14"/>
    </sheetView>
  </sheetViews>
  <sheetFormatPr defaultRowHeight="15" x14ac:dyDescent="0.25"/>
  <sheetData>
    <row r="1" spans="1:10" x14ac:dyDescent="0.25">
      <c r="B1" s="2" t="s">
        <v>741</v>
      </c>
      <c r="C1" s="6" t="s">
        <v>742</v>
      </c>
      <c r="D1" s="6" t="s">
        <v>743</v>
      </c>
      <c r="E1" s="6" t="s">
        <v>700</v>
      </c>
      <c r="F1" s="6" t="s">
        <v>701</v>
      </c>
      <c r="G1" s="6" t="s">
        <v>702</v>
      </c>
      <c r="H1" s="6" t="s">
        <v>744</v>
      </c>
      <c r="I1" s="6" t="s">
        <v>745</v>
      </c>
      <c r="J1" s="6" t="s">
        <v>746</v>
      </c>
    </row>
    <row r="2" spans="1:10" x14ac:dyDescent="0.25">
      <c r="A2" s="2" t="s">
        <v>742</v>
      </c>
      <c r="B2">
        <v>82</v>
      </c>
      <c r="C2" s="147"/>
      <c r="D2" s="147"/>
      <c r="E2" s="147"/>
      <c r="F2" s="147"/>
      <c r="G2" s="147"/>
      <c r="H2" s="147"/>
      <c r="I2" s="147"/>
      <c r="J2" s="147"/>
    </row>
    <row r="3" spans="1:10" x14ac:dyDescent="0.25">
      <c r="A3" s="2" t="s">
        <v>743</v>
      </c>
      <c r="B3">
        <v>48</v>
      </c>
      <c r="C3">
        <v>40</v>
      </c>
      <c r="D3" s="147"/>
      <c r="E3" s="147"/>
      <c r="F3" s="147"/>
      <c r="G3" s="147"/>
      <c r="H3" s="147"/>
      <c r="I3" s="147"/>
      <c r="J3" s="147"/>
    </row>
    <row r="4" spans="1:10" x14ac:dyDescent="0.25">
      <c r="A4" s="2" t="s">
        <v>700</v>
      </c>
      <c r="B4">
        <v>23</v>
      </c>
      <c r="C4">
        <v>26</v>
      </c>
      <c r="D4">
        <v>15</v>
      </c>
      <c r="E4" s="147"/>
      <c r="F4" s="147"/>
      <c r="G4" s="147"/>
      <c r="H4" s="147"/>
      <c r="I4" s="147"/>
      <c r="J4" s="147"/>
    </row>
    <row r="5" spans="1:10" x14ac:dyDescent="0.25">
      <c r="A5" s="2" t="s">
        <v>701</v>
      </c>
      <c r="B5">
        <v>21</v>
      </c>
      <c r="C5">
        <v>22</v>
      </c>
      <c r="D5">
        <v>21</v>
      </c>
      <c r="E5">
        <v>44</v>
      </c>
      <c r="F5" s="147"/>
      <c r="G5" s="147"/>
      <c r="H5" s="147"/>
      <c r="I5" s="147"/>
      <c r="J5" s="147"/>
    </row>
    <row r="6" spans="1:10" x14ac:dyDescent="0.25">
      <c r="A6" s="2" t="s">
        <v>702</v>
      </c>
      <c r="B6">
        <v>23</v>
      </c>
      <c r="C6">
        <v>24</v>
      </c>
      <c r="D6">
        <v>14</v>
      </c>
      <c r="E6">
        <v>15</v>
      </c>
      <c r="F6">
        <v>7</v>
      </c>
      <c r="G6" s="147"/>
      <c r="H6" s="147"/>
      <c r="I6" s="147"/>
      <c r="J6" s="147"/>
    </row>
    <row r="7" spans="1:10" x14ac:dyDescent="0.25">
      <c r="A7" s="2" t="s">
        <v>744</v>
      </c>
      <c r="B7">
        <v>26</v>
      </c>
      <c r="C7">
        <v>22</v>
      </c>
      <c r="D7">
        <v>13</v>
      </c>
      <c r="E7">
        <v>3</v>
      </c>
      <c r="F7">
        <v>4</v>
      </c>
      <c r="G7">
        <v>4</v>
      </c>
      <c r="H7" s="147"/>
      <c r="I7" s="147"/>
      <c r="J7" s="147"/>
    </row>
    <row r="8" spans="1:10" x14ac:dyDescent="0.25">
      <c r="A8" s="2" t="s">
        <v>745</v>
      </c>
      <c r="B8">
        <v>15</v>
      </c>
      <c r="C8">
        <v>18</v>
      </c>
      <c r="D8">
        <v>8</v>
      </c>
      <c r="E8">
        <v>7</v>
      </c>
      <c r="F8">
        <v>7</v>
      </c>
      <c r="G8">
        <v>4</v>
      </c>
      <c r="H8">
        <v>1</v>
      </c>
      <c r="I8" s="147"/>
      <c r="J8" s="147"/>
    </row>
    <row r="9" spans="1:10" x14ac:dyDescent="0.25">
      <c r="A9" s="2" t="s">
        <v>746</v>
      </c>
      <c r="B9">
        <v>15</v>
      </c>
      <c r="C9">
        <v>12</v>
      </c>
      <c r="D9">
        <v>6</v>
      </c>
      <c r="E9">
        <v>4</v>
      </c>
      <c r="F9">
        <v>5</v>
      </c>
      <c r="G9">
        <v>7</v>
      </c>
      <c r="H9">
        <v>2</v>
      </c>
      <c r="I9">
        <v>4</v>
      </c>
      <c r="J9" s="147"/>
    </row>
    <row r="10" spans="1:10" x14ac:dyDescent="0.25">
      <c r="A10" s="2" t="s">
        <v>877</v>
      </c>
      <c r="B10">
        <v>6</v>
      </c>
      <c r="C10">
        <v>7</v>
      </c>
      <c r="D10">
        <v>6</v>
      </c>
      <c r="E10">
        <v>2</v>
      </c>
      <c r="F10">
        <v>1</v>
      </c>
      <c r="G10">
        <v>2</v>
      </c>
      <c r="H10">
        <v>6</v>
      </c>
      <c r="I10">
        <v>0</v>
      </c>
      <c r="J10">
        <v>0</v>
      </c>
    </row>
    <row r="11" spans="1:10" x14ac:dyDescent="0.25">
      <c r="A11" s="2" t="s">
        <v>747</v>
      </c>
      <c r="B11">
        <v>5</v>
      </c>
      <c r="C11">
        <v>4</v>
      </c>
      <c r="D11">
        <v>3</v>
      </c>
      <c r="E11">
        <v>2</v>
      </c>
      <c r="F11">
        <v>0</v>
      </c>
      <c r="G11">
        <v>4</v>
      </c>
      <c r="H11">
        <v>0</v>
      </c>
      <c r="I11">
        <v>2</v>
      </c>
      <c r="J11">
        <v>4</v>
      </c>
    </row>
    <row r="12" spans="1:10" x14ac:dyDescent="0.25">
      <c r="A12" s="2" t="s">
        <v>748</v>
      </c>
      <c r="B12">
        <v>5</v>
      </c>
      <c r="C12">
        <v>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s="2" t="s">
        <v>709</v>
      </c>
      <c r="B13">
        <v>2</v>
      </c>
      <c r="C13">
        <v>2</v>
      </c>
      <c r="D13">
        <v>1</v>
      </c>
      <c r="E13">
        <v>1</v>
      </c>
      <c r="F13">
        <v>0</v>
      </c>
      <c r="G13">
        <v>2</v>
      </c>
      <c r="H13">
        <v>1</v>
      </c>
      <c r="I13">
        <v>0</v>
      </c>
      <c r="J13">
        <v>0</v>
      </c>
    </row>
    <row r="14" spans="1:10" x14ac:dyDescent="0.25">
      <c r="A14" s="2" t="s">
        <v>749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8835-6B58-400A-A6BA-CFF7CAF106AA}">
  <dimension ref="A1:E90"/>
  <sheetViews>
    <sheetView workbookViewId="0">
      <selection sqref="A1:A1048576"/>
    </sheetView>
  </sheetViews>
  <sheetFormatPr defaultRowHeight="15" x14ac:dyDescent="0.25"/>
  <cols>
    <col min="1" max="1" width="14.42578125" bestFit="1" customWidth="1"/>
    <col min="2" max="2" width="18.7109375" customWidth="1"/>
    <col min="3" max="3" width="21.42578125" customWidth="1"/>
    <col min="4" max="4" width="36" customWidth="1"/>
    <col min="5" max="5" width="35.85546875" customWidth="1"/>
  </cols>
  <sheetData>
    <row r="1" spans="1:5" x14ac:dyDescent="0.25">
      <c r="A1" s="2" t="s">
        <v>268</v>
      </c>
      <c r="B1" s="2" t="s">
        <v>774</v>
      </c>
      <c r="C1" s="2" t="s">
        <v>775</v>
      </c>
      <c r="D1" s="2" t="s">
        <v>776</v>
      </c>
      <c r="E1" s="2" t="s">
        <v>777</v>
      </c>
    </row>
    <row r="2" spans="1:5" x14ac:dyDescent="0.25">
      <c r="A2" t="s">
        <v>68</v>
      </c>
      <c r="B2" t="s">
        <v>71</v>
      </c>
      <c r="D2" t="s">
        <v>70</v>
      </c>
    </row>
    <row r="3" spans="1:5" x14ac:dyDescent="0.25">
      <c r="A3" t="s">
        <v>304</v>
      </c>
      <c r="B3" t="s">
        <v>38</v>
      </c>
      <c r="D3" t="s">
        <v>65</v>
      </c>
    </row>
    <row r="4" spans="1:5" x14ac:dyDescent="0.25">
      <c r="A4" t="s">
        <v>33</v>
      </c>
      <c r="B4" t="s">
        <v>38</v>
      </c>
      <c r="D4" t="s">
        <v>37</v>
      </c>
    </row>
    <row r="5" spans="1:5" x14ac:dyDescent="0.25">
      <c r="A5" t="s">
        <v>185</v>
      </c>
      <c r="B5" t="s">
        <v>770</v>
      </c>
      <c r="C5" t="s">
        <v>778</v>
      </c>
      <c r="D5" t="s">
        <v>178</v>
      </c>
    </row>
    <row r="6" spans="1:5" x14ac:dyDescent="0.25">
      <c r="A6" s="20" t="s">
        <v>285</v>
      </c>
      <c r="B6" t="s">
        <v>779</v>
      </c>
      <c r="C6" t="s">
        <v>780</v>
      </c>
      <c r="D6" t="s">
        <v>781</v>
      </c>
      <c r="E6" t="s">
        <v>782</v>
      </c>
    </row>
    <row r="7" spans="1:5" x14ac:dyDescent="0.25">
      <c r="A7" t="s">
        <v>305</v>
      </c>
      <c r="B7" t="s">
        <v>783</v>
      </c>
      <c r="C7" t="s">
        <v>104</v>
      </c>
      <c r="D7" t="s">
        <v>103</v>
      </c>
    </row>
    <row r="8" spans="1:5" x14ac:dyDescent="0.25">
      <c r="A8" t="s">
        <v>27</v>
      </c>
      <c r="D8" t="s">
        <v>31</v>
      </c>
    </row>
    <row r="9" spans="1:5" x14ac:dyDescent="0.25">
      <c r="A9" t="s">
        <v>175</v>
      </c>
      <c r="B9" t="s">
        <v>784</v>
      </c>
      <c r="D9" t="s">
        <v>181</v>
      </c>
    </row>
    <row r="10" spans="1:5" x14ac:dyDescent="0.25">
      <c r="A10" t="s">
        <v>148</v>
      </c>
      <c r="D10" t="s">
        <v>186</v>
      </c>
    </row>
    <row r="11" spans="1:5" x14ac:dyDescent="0.25">
      <c r="A11" t="s">
        <v>105</v>
      </c>
      <c r="D11" t="s">
        <v>98</v>
      </c>
    </row>
    <row r="12" spans="1:5" x14ac:dyDescent="0.25">
      <c r="A12" t="s">
        <v>58</v>
      </c>
      <c r="B12" t="s">
        <v>54</v>
      </c>
      <c r="D12" t="s">
        <v>63</v>
      </c>
    </row>
    <row r="13" spans="1:5" x14ac:dyDescent="0.25">
      <c r="A13" t="s">
        <v>168</v>
      </c>
      <c r="D13" t="s">
        <v>90</v>
      </c>
    </row>
    <row r="14" spans="1:5" x14ac:dyDescent="0.25">
      <c r="A14" t="s">
        <v>108</v>
      </c>
      <c r="D14" t="s">
        <v>155</v>
      </c>
    </row>
    <row r="15" spans="1:5" x14ac:dyDescent="0.25">
      <c r="A15" s="20" t="s">
        <v>293</v>
      </c>
      <c r="B15" t="s">
        <v>770</v>
      </c>
      <c r="C15" t="s">
        <v>785</v>
      </c>
      <c r="D15" t="s">
        <v>110</v>
      </c>
    </row>
    <row r="16" spans="1:5" x14ac:dyDescent="0.25">
      <c r="A16" t="s">
        <v>85</v>
      </c>
      <c r="B16" t="s">
        <v>26</v>
      </c>
      <c r="D16" t="s">
        <v>79</v>
      </c>
    </row>
    <row r="17" spans="1:5" x14ac:dyDescent="0.25">
      <c r="A17" t="s">
        <v>141</v>
      </c>
      <c r="B17" t="s">
        <v>765</v>
      </c>
      <c r="C17" t="s">
        <v>786</v>
      </c>
      <c r="D17" t="s">
        <v>787</v>
      </c>
      <c r="E17" t="s">
        <v>788</v>
      </c>
    </row>
    <row r="18" spans="1:5" x14ac:dyDescent="0.25">
      <c r="A18" t="s">
        <v>81</v>
      </c>
      <c r="B18" t="s">
        <v>26</v>
      </c>
      <c r="D18" t="s">
        <v>84</v>
      </c>
    </row>
    <row r="19" spans="1:5" x14ac:dyDescent="0.25">
      <c r="A19" t="s">
        <v>39</v>
      </c>
      <c r="B19" t="s">
        <v>44</v>
      </c>
      <c r="D19" t="s">
        <v>43</v>
      </c>
    </row>
    <row r="20" spans="1:5" x14ac:dyDescent="0.25">
      <c r="A20" t="s">
        <v>32</v>
      </c>
      <c r="D20" t="s">
        <v>162</v>
      </c>
    </row>
    <row r="21" spans="1:5" x14ac:dyDescent="0.25">
      <c r="A21" t="s">
        <v>289</v>
      </c>
      <c r="B21" t="s">
        <v>789</v>
      </c>
      <c r="C21" t="s">
        <v>790</v>
      </c>
      <c r="D21" t="s">
        <v>791</v>
      </c>
      <c r="E21" t="s">
        <v>792</v>
      </c>
    </row>
    <row r="22" spans="1:5" x14ac:dyDescent="0.25">
      <c r="A22" t="s">
        <v>114</v>
      </c>
      <c r="B22" t="s">
        <v>793</v>
      </c>
      <c r="C22" t="s">
        <v>794</v>
      </c>
      <c r="D22" t="s">
        <v>795</v>
      </c>
      <c r="E22" t="s">
        <v>796</v>
      </c>
    </row>
    <row r="23" spans="1:5" x14ac:dyDescent="0.25">
      <c r="A23" t="s">
        <v>156</v>
      </c>
      <c r="B23" t="s">
        <v>38</v>
      </c>
      <c r="D23" t="s">
        <v>158</v>
      </c>
    </row>
    <row r="24" spans="1:5" x14ac:dyDescent="0.25">
      <c r="A24" t="s">
        <v>95</v>
      </c>
      <c r="C24" t="s">
        <v>797</v>
      </c>
      <c r="D24" t="s">
        <v>90</v>
      </c>
      <c r="E24" t="s">
        <v>797</v>
      </c>
    </row>
    <row r="25" spans="1:5" x14ac:dyDescent="0.25">
      <c r="A25" t="s">
        <v>133</v>
      </c>
      <c r="B25" t="s">
        <v>770</v>
      </c>
      <c r="C25" t="s">
        <v>798</v>
      </c>
      <c r="D25" t="s">
        <v>799</v>
      </c>
      <c r="E25" t="s">
        <v>800</v>
      </c>
    </row>
    <row r="26" spans="1:5" x14ac:dyDescent="0.25">
      <c r="A26" t="s">
        <v>76</v>
      </c>
      <c r="B26" t="s">
        <v>80</v>
      </c>
      <c r="D26" t="s">
        <v>79</v>
      </c>
    </row>
    <row r="27" spans="1:5" x14ac:dyDescent="0.25">
      <c r="A27" t="s">
        <v>88</v>
      </c>
      <c r="C27" t="s">
        <v>797</v>
      </c>
      <c r="D27" t="s">
        <v>801</v>
      </c>
      <c r="E27" t="s">
        <v>802</v>
      </c>
    </row>
    <row r="28" spans="1:5" x14ac:dyDescent="0.25">
      <c r="A28" t="s">
        <v>99</v>
      </c>
      <c r="C28" t="s">
        <v>803</v>
      </c>
      <c r="D28" t="s">
        <v>804</v>
      </c>
      <c r="E28" t="s">
        <v>805</v>
      </c>
    </row>
    <row r="29" spans="1:5" x14ac:dyDescent="0.25">
      <c r="A29" t="s">
        <v>275</v>
      </c>
      <c r="B29" t="s">
        <v>806</v>
      </c>
      <c r="C29" t="s">
        <v>807</v>
      </c>
      <c r="D29" t="s">
        <v>808</v>
      </c>
      <c r="E29" t="s">
        <v>809</v>
      </c>
    </row>
    <row r="30" spans="1:5" x14ac:dyDescent="0.25">
      <c r="A30" t="s">
        <v>120</v>
      </c>
      <c r="B30" t="s">
        <v>38</v>
      </c>
      <c r="C30" t="s">
        <v>810</v>
      </c>
      <c r="D30" t="s">
        <v>811</v>
      </c>
      <c r="E30" t="s">
        <v>812</v>
      </c>
    </row>
    <row r="31" spans="1:5" x14ac:dyDescent="0.25">
      <c r="A31" t="s">
        <v>171</v>
      </c>
      <c r="B31" t="s">
        <v>167</v>
      </c>
      <c r="D31" t="s">
        <v>166</v>
      </c>
    </row>
    <row r="32" spans="1:5" x14ac:dyDescent="0.25">
      <c r="A32" t="s">
        <v>122</v>
      </c>
      <c r="B32" t="s">
        <v>38</v>
      </c>
      <c r="C32" t="s">
        <v>813</v>
      </c>
      <c r="D32" t="s">
        <v>814</v>
      </c>
      <c r="E32" t="s">
        <v>815</v>
      </c>
    </row>
    <row r="33" spans="1:5" x14ac:dyDescent="0.25">
      <c r="A33" t="s">
        <v>290</v>
      </c>
      <c r="B33" t="s">
        <v>766</v>
      </c>
      <c r="C33" t="s">
        <v>816</v>
      </c>
      <c r="D33" t="s">
        <v>817</v>
      </c>
      <c r="E33" t="s">
        <v>818</v>
      </c>
    </row>
    <row r="34" spans="1:5" x14ac:dyDescent="0.25">
      <c r="A34" t="s">
        <v>282</v>
      </c>
      <c r="B34" t="s">
        <v>38</v>
      </c>
      <c r="C34" t="s">
        <v>819</v>
      </c>
      <c r="D34" t="s">
        <v>820</v>
      </c>
      <c r="E34" t="s">
        <v>821</v>
      </c>
    </row>
    <row r="35" spans="1:5" x14ac:dyDescent="0.25">
      <c r="A35" t="s">
        <v>45</v>
      </c>
      <c r="B35" t="s">
        <v>50</v>
      </c>
      <c r="D35" t="s">
        <v>49</v>
      </c>
    </row>
    <row r="36" spans="1:5" x14ac:dyDescent="0.25">
      <c r="A36" t="s">
        <v>279</v>
      </c>
      <c r="B36" t="s">
        <v>38</v>
      </c>
      <c r="C36" t="s">
        <v>822</v>
      </c>
      <c r="D36" t="s">
        <v>823</v>
      </c>
      <c r="E36" t="s">
        <v>824</v>
      </c>
    </row>
    <row r="37" spans="1:5" x14ac:dyDescent="0.25">
      <c r="A37" t="s">
        <v>306</v>
      </c>
      <c r="D37" t="s">
        <v>140</v>
      </c>
    </row>
    <row r="38" spans="1:5" x14ac:dyDescent="0.25">
      <c r="A38" t="s">
        <v>291</v>
      </c>
      <c r="B38" t="s">
        <v>767</v>
      </c>
      <c r="C38" t="s">
        <v>825</v>
      </c>
      <c r="D38" t="s">
        <v>826</v>
      </c>
      <c r="E38" t="s">
        <v>827</v>
      </c>
    </row>
    <row r="39" spans="1:5" x14ac:dyDescent="0.25">
      <c r="A39" t="s">
        <v>55</v>
      </c>
      <c r="B39" t="s">
        <v>57</v>
      </c>
      <c r="D39" t="s">
        <v>56</v>
      </c>
    </row>
    <row r="40" spans="1:5" x14ac:dyDescent="0.25">
      <c r="A40" t="s">
        <v>22</v>
      </c>
      <c r="B40" t="s">
        <v>26</v>
      </c>
      <c r="D40" t="s">
        <v>25</v>
      </c>
    </row>
    <row r="41" spans="1:5" x14ac:dyDescent="0.25">
      <c r="A41" t="s">
        <v>296</v>
      </c>
      <c r="D41" t="s">
        <v>90</v>
      </c>
    </row>
    <row r="42" spans="1:5" x14ac:dyDescent="0.25">
      <c r="A42" t="s">
        <v>274</v>
      </c>
      <c r="D42" t="s">
        <v>90</v>
      </c>
    </row>
    <row r="43" spans="1:5" x14ac:dyDescent="0.25">
      <c r="A43" t="s">
        <v>179</v>
      </c>
      <c r="B43" t="s">
        <v>828</v>
      </c>
      <c r="D43" t="s">
        <v>90</v>
      </c>
    </row>
    <row r="44" spans="1:5" x14ac:dyDescent="0.25">
      <c r="A44" t="s">
        <v>163</v>
      </c>
      <c r="D44" t="s">
        <v>144</v>
      </c>
    </row>
    <row r="45" spans="1:5" x14ac:dyDescent="0.25">
      <c r="A45" s="20" t="s">
        <v>294</v>
      </c>
      <c r="D45" t="s">
        <v>107</v>
      </c>
    </row>
    <row r="46" spans="1:5" x14ac:dyDescent="0.25">
      <c r="A46" t="s">
        <v>182</v>
      </c>
      <c r="B46" t="s">
        <v>132</v>
      </c>
      <c r="D46" t="s">
        <v>75</v>
      </c>
    </row>
    <row r="47" spans="1:5" x14ac:dyDescent="0.25">
      <c r="A47" s="20" t="s">
        <v>302</v>
      </c>
      <c r="D47" t="s">
        <v>90</v>
      </c>
    </row>
    <row r="48" spans="1:5" x14ac:dyDescent="0.25">
      <c r="A48" t="s">
        <v>51</v>
      </c>
      <c r="B48" t="s">
        <v>54</v>
      </c>
      <c r="D48" t="s">
        <v>53</v>
      </c>
    </row>
    <row r="49" spans="1:5" x14ac:dyDescent="0.25">
      <c r="A49" t="s">
        <v>4</v>
      </c>
      <c r="B49" t="s">
        <v>9</v>
      </c>
      <c r="D49" t="s">
        <v>8</v>
      </c>
    </row>
    <row r="50" spans="1:5" x14ac:dyDescent="0.25">
      <c r="A50" t="s">
        <v>128</v>
      </c>
      <c r="C50" t="s">
        <v>797</v>
      </c>
      <c r="D50" t="s">
        <v>762</v>
      </c>
      <c r="E50" t="s">
        <v>829</v>
      </c>
    </row>
    <row r="51" spans="1:5" x14ac:dyDescent="0.25">
      <c r="A51" t="s">
        <v>307</v>
      </c>
      <c r="D51" t="s">
        <v>174</v>
      </c>
    </row>
    <row r="52" spans="1:5" x14ac:dyDescent="0.25">
      <c r="A52" t="s">
        <v>10</v>
      </c>
      <c r="B52" t="s">
        <v>15</v>
      </c>
      <c r="D52" t="s">
        <v>14</v>
      </c>
    </row>
    <row r="53" spans="1:5" x14ac:dyDescent="0.25">
      <c r="A53" t="s">
        <v>64</v>
      </c>
      <c r="D53" t="s">
        <v>65</v>
      </c>
    </row>
    <row r="54" spans="1:5" x14ac:dyDescent="0.25">
      <c r="A54" t="s">
        <v>123</v>
      </c>
      <c r="B54" t="s">
        <v>763</v>
      </c>
      <c r="C54" t="s">
        <v>830</v>
      </c>
      <c r="D54" t="s">
        <v>75</v>
      </c>
      <c r="E54" t="s">
        <v>831</v>
      </c>
    </row>
    <row r="55" spans="1:5" x14ac:dyDescent="0.25">
      <c r="A55" s="20" t="s">
        <v>303</v>
      </c>
      <c r="D55" t="s">
        <v>53</v>
      </c>
    </row>
    <row r="56" spans="1:5" x14ac:dyDescent="0.25">
      <c r="A56" t="s">
        <v>286</v>
      </c>
      <c r="C56" t="s">
        <v>797</v>
      </c>
      <c r="D56" t="s">
        <v>832</v>
      </c>
      <c r="E56" t="s">
        <v>833</v>
      </c>
    </row>
    <row r="57" spans="1:5" x14ac:dyDescent="0.25">
      <c r="A57" t="s">
        <v>125</v>
      </c>
      <c r="C57" t="s">
        <v>797</v>
      </c>
      <c r="D57" t="s">
        <v>762</v>
      </c>
      <c r="E57" t="s">
        <v>834</v>
      </c>
    </row>
    <row r="58" spans="1:5" x14ac:dyDescent="0.25">
      <c r="A58" s="20" t="s">
        <v>288</v>
      </c>
      <c r="B58" t="s">
        <v>835</v>
      </c>
      <c r="C58" t="s">
        <v>836</v>
      </c>
      <c r="D58" t="s">
        <v>837</v>
      </c>
      <c r="E58" t="s">
        <v>838</v>
      </c>
    </row>
    <row r="59" spans="1:5" x14ac:dyDescent="0.25">
      <c r="A59" t="s">
        <v>277</v>
      </c>
      <c r="C59" t="s">
        <v>839</v>
      </c>
      <c r="D59" t="s">
        <v>840</v>
      </c>
      <c r="E59" t="s">
        <v>841</v>
      </c>
    </row>
    <row r="60" spans="1:5" x14ac:dyDescent="0.25">
      <c r="A60" t="s">
        <v>152</v>
      </c>
      <c r="B60" t="s">
        <v>766</v>
      </c>
      <c r="C60" t="s">
        <v>151</v>
      </c>
      <c r="D60" t="s">
        <v>150</v>
      </c>
    </row>
    <row r="61" spans="1:5" x14ac:dyDescent="0.25">
      <c r="A61" s="20" t="s">
        <v>295</v>
      </c>
      <c r="B61" t="s">
        <v>784</v>
      </c>
      <c r="D61" t="s">
        <v>170</v>
      </c>
    </row>
    <row r="62" spans="1:5" x14ac:dyDescent="0.25">
      <c r="A62" t="s">
        <v>145</v>
      </c>
      <c r="D62" t="s">
        <v>762</v>
      </c>
      <c r="E62" t="s">
        <v>842</v>
      </c>
    </row>
    <row r="63" spans="1:5" x14ac:dyDescent="0.25">
      <c r="A63" t="s">
        <v>91</v>
      </c>
      <c r="C63" t="s">
        <v>797</v>
      </c>
      <c r="D63" t="s">
        <v>90</v>
      </c>
      <c r="E63" t="s">
        <v>797</v>
      </c>
    </row>
    <row r="64" spans="1:5" x14ac:dyDescent="0.25">
      <c r="A64" t="s">
        <v>117</v>
      </c>
      <c r="C64" t="s">
        <v>797</v>
      </c>
      <c r="D64" t="s">
        <v>843</v>
      </c>
      <c r="E64" t="s">
        <v>844</v>
      </c>
    </row>
    <row r="65" spans="1:5" x14ac:dyDescent="0.25">
      <c r="A65" t="s">
        <v>276</v>
      </c>
      <c r="B65" t="s">
        <v>845</v>
      </c>
      <c r="C65" t="s">
        <v>846</v>
      </c>
      <c r="D65" t="s">
        <v>847</v>
      </c>
      <c r="E65" t="s">
        <v>848</v>
      </c>
    </row>
    <row r="66" spans="1:5" x14ac:dyDescent="0.25">
      <c r="A66" t="s">
        <v>176</v>
      </c>
      <c r="B66" t="s">
        <v>849</v>
      </c>
      <c r="D66" t="s">
        <v>75</v>
      </c>
    </row>
    <row r="67" spans="1:5" x14ac:dyDescent="0.25">
      <c r="A67" t="s">
        <v>297</v>
      </c>
      <c r="B67" t="s">
        <v>764</v>
      </c>
      <c r="C67" t="s">
        <v>159</v>
      </c>
      <c r="D67" t="s">
        <v>158</v>
      </c>
    </row>
    <row r="68" spans="1:5" x14ac:dyDescent="0.25">
      <c r="A68" s="20" t="s">
        <v>298</v>
      </c>
      <c r="B68" t="s">
        <v>850</v>
      </c>
      <c r="C68" t="s">
        <v>851</v>
      </c>
      <c r="D68" t="s">
        <v>75</v>
      </c>
    </row>
    <row r="69" spans="1:5" x14ac:dyDescent="0.25">
      <c r="A69" t="s">
        <v>280</v>
      </c>
      <c r="C69" t="s">
        <v>797</v>
      </c>
      <c r="D69" t="s">
        <v>90</v>
      </c>
      <c r="E69" t="s">
        <v>797</v>
      </c>
    </row>
    <row r="70" spans="1:5" x14ac:dyDescent="0.25">
      <c r="A70" t="s">
        <v>138</v>
      </c>
      <c r="B70" t="s">
        <v>784</v>
      </c>
      <c r="C70" t="s">
        <v>798</v>
      </c>
      <c r="D70" t="s">
        <v>852</v>
      </c>
      <c r="E70" t="s">
        <v>853</v>
      </c>
    </row>
    <row r="71" spans="1:5" x14ac:dyDescent="0.25">
      <c r="A71" t="s">
        <v>299</v>
      </c>
      <c r="D71" t="s">
        <v>90</v>
      </c>
    </row>
    <row r="72" spans="1:5" x14ac:dyDescent="0.25">
      <c r="A72" s="4" t="s">
        <v>101</v>
      </c>
      <c r="B72" s="4" t="s">
        <v>828</v>
      </c>
      <c r="C72" s="4" t="s">
        <v>854</v>
      </c>
      <c r="D72" s="4" t="s">
        <v>855</v>
      </c>
      <c r="E72" s="4" t="s">
        <v>856</v>
      </c>
    </row>
    <row r="73" spans="1:5" x14ac:dyDescent="0.25">
      <c r="A73" t="s">
        <v>66</v>
      </c>
      <c r="B73" s="5" t="s">
        <v>38</v>
      </c>
      <c r="D73" s="5" t="s">
        <v>67</v>
      </c>
    </row>
    <row r="74" spans="1:5" x14ac:dyDescent="0.25">
      <c r="A74" t="s">
        <v>278</v>
      </c>
      <c r="C74" t="s">
        <v>797</v>
      </c>
      <c r="D74" t="s">
        <v>90</v>
      </c>
      <c r="E74" t="s">
        <v>797</v>
      </c>
    </row>
    <row r="75" spans="1:5" x14ac:dyDescent="0.25">
      <c r="A75" t="s">
        <v>278</v>
      </c>
      <c r="C75" t="s">
        <v>797</v>
      </c>
      <c r="D75" t="s">
        <v>90</v>
      </c>
      <c r="E75" t="s">
        <v>797</v>
      </c>
    </row>
    <row r="76" spans="1:5" x14ac:dyDescent="0.25">
      <c r="A76" t="s">
        <v>173</v>
      </c>
      <c r="B76" t="s">
        <v>784</v>
      </c>
      <c r="D76" t="s">
        <v>184</v>
      </c>
    </row>
    <row r="77" spans="1:5" x14ac:dyDescent="0.25">
      <c r="A77" t="s">
        <v>772</v>
      </c>
      <c r="B77" t="s">
        <v>38</v>
      </c>
      <c r="D77" t="s">
        <v>94</v>
      </c>
    </row>
    <row r="78" spans="1:5" x14ac:dyDescent="0.25">
      <c r="A78" t="s">
        <v>773</v>
      </c>
      <c r="D78" t="s">
        <v>90</v>
      </c>
    </row>
    <row r="79" spans="1:5" x14ac:dyDescent="0.25">
      <c r="A79" t="s">
        <v>292</v>
      </c>
      <c r="C79" t="s">
        <v>797</v>
      </c>
      <c r="D79" t="s">
        <v>90</v>
      </c>
      <c r="E79" t="s">
        <v>797</v>
      </c>
    </row>
    <row r="80" spans="1:5" x14ac:dyDescent="0.25">
      <c r="A80" t="s">
        <v>136</v>
      </c>
      <c r="B80" t="s">
        <v>857</v>
      </c>
      <c r="C80" t="s">
        <v>858</v>
      </c>
      <c r="D80" t="s">
        <v>859</v>
      </c>
      <c r="E80" t="s">
        <v>860</v>
      </c>
    </row>
    <row r="81" spans="1:5" x14ac:dyDescent="0.25">
      <c r="A81" t="s">
        <v>16</v>
      </c>
      <c r="B81" t="s">
        <v>21</v>
      </c>
      <c r="D81" t="s">
        <v>20</v>
      </c>
    </row>
    <row r="82" spans="1:5" x14ac:dyDescent="0.25">
      <c r="A82" t="s">
        <v>130</v>
      </c>
      <c r="B82" t="s">
        <v>38</v>
      </c>
      <c r="C82" t="s">
        <v>861</v>
      </c>
      <c r="D82" t="s">
        <v>757</v>
      </c>
      <c r="E82" t="s">
        <v>862</v>
      </c>
    </row>
    <row r="83" spans="1:5" x14ac:dyDescent="0.25">
      <c r="A83" s="20" t="s">
        <v>283</v>
      </c>
      <c r="B83" t="s">
        <v>863</v>
      </c>
      <c r="C83" t="s">
        <v>864</v>
      </c>
      <c r="D83" t="s">
        <v>865</v>
      </c>
      <c r="E83" t="s">
        <v>866</v>
      </c>
    </row>
    <row r="84" spans="1:5" x14ac:dyDescent="0.25">
      <c r="A84" t="s">
        <v>300</v>
      </c>
      <c r="D84" t="s">
        <v>90</v>
      </c>
    </row>
    <row r="85" spans="1:5" x14ac:dyDescent="0.25">
      <c r="A85" t="s">
        <v>301</v>
      </c>
      <c r="D85" t="s">
        <v>121</v>
      </c>
    </row>
    <row r="86" spans="1:5" x14ac:dyDescent="0.25">
      <c r="A86" t="s">
        <v>72</v>
      </c>
      <c r="B86" t="s">
        <v>54</v>
      </c>
      <c r="D86" t="s">
        <v>75</v>
      </c>
    </row>
    <row r="87" spans="1:5" x14ac:dyDescent="0.25">
      <c r="A87" t="s">
        <v>281</v>
      </c>
      <c r="B87" t="s">
        <v>867</v>
      </c>
      <c r="C87" t="s">
        <v>868</v>
      </c>
      <c r="D87" t="s">
        <v>869</v>
      </c>
      <c r="E87" t="s">
        <v>870</v>
      </c>
    </row>
    <row r="88" spans="1:5" x14ac:dyDescent="0.25">
      <c r="A88" t="s">
        <v>160</v>
      </c>
      <c r="B88" t="s">
        <v>871</v>
      </c>
      <c r="C88" t="s">
        <v>872</v>
      </c>
      <c r="D88" t="s">
        <v>113</v>
      </c>
    </row>
    <row r="89" spans="1:5" x14ac:dyDescent="0.25">
      <c r="A89" t="s">
        <v>308</v>
      </c>
      <c r="D89" t="s">
        <v>177</v>
      </c>
    </row>
    <row r="90" spans="1:5" x14ac:dyDescent="0.25">
      <c r="A90" t="s">
        <v>284</v>
      </c>
      <c r="B90" t="s">
        <v>38</v>
      </c>
      <c r="C90" t="s">
        <v>873</v>
      </c>
      <c r="D90" t="s">
        <v>874</v>
      </c>
      <c r="E90" t="s">
        <v>875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7116-FEE2-4B19-A9F9-F0A15D9A8228}">
  <dimension ref="A1:C17"/>
  <sheetViews>
    <sheetView zoomScale="85" zoomScaleNormal="85" workbookViewId="0">
      <selection activeCell="C2" sqref="C2:C14"/>
    </sheetView>
  </sheetViews>
  <sheetFormatPr defaultRowHeight="15" x14ac:dyDescent="0.25"/>
  <cols>
    <col min="1" max="1" width="19.7109375" bestFit="1" customWidth="1"/>
  </cols>
  <sheetData>
    <row r="1" spans="1:3" s="2" customFormat="1" x14ac:dyDescent="0.25">
      <c r="A1" s="2" t="s">
        <v>750</v>
      </c>
      <c r="B1" s="2" t="s">
        <v>751</v>
      </c>
    </row>
    <row r="2" spans="1:3" x14ac:dyDescent="0.25">
      <c r="A2" t="s">
        <v>752</v>
      </c>
      <c r="B2">
        <v>1</v>
      </c>
      <c r="C2">
        <f>B2/89</f>
        <v>1.1235955056179775E-2</v>
      </c>
    </row>
    <row r="3" spans="1:3" x14ac:dyDescent="0.25">
      <c r="A3" t="s">
        <v>753</v>
      </c>
      <c r="B3">
        <v>3</v>
      </c>
      <c r="C3">
        <f t="shared" ref="C3:C14" si="0">B3/89</f>
        <v>3.3707865168539325E-2</v>
      </c>
    </row>
    <row r="4" spans="1:3" x14ac:dyDescent="0.25">
      <c r="A4" t="s">
        <v>754</v>
      </c>
      <c r="B4">
        <v>7</v>
      </c>
      <c r="C4">
        <f t="shared" si="0"/>
        <v>7.8651685393258425E-2</v>
      </c>
    </row>
    <row r="5" spans="1:3" x14ac:dyDescent="0.25">
      <c r="A5" t="s">
        <v>755</v>
      </c>
      <c r="B5">
        <v>14</v>
      </c>
      <c r="C5">
        <f t="shared" si="0"/>
        <v>0.15730337078651685</v>
      </c>
    </row>
    <row r="6" spans="1:3" x14ac:dyDescent="0.25">
      <c r="A6" t="s">
        <v>756</v>
      </c>
      <c r="B6">
        <v>14</v>
      </c>
      <c r="C6">
        <f t="shared" si="0"/>
        <v>0.15730337078651685</v>
      </c>
    </row>
    <row r="7" spans="1:3" x14ac:dyDescent="0.25">
      <c r="A7" t="s">
        <v>757</v>
      </c>
      <c r="B7">
        <v>14</v>
      </c>
      <c r="C7">
        <f t="shared" si="0"/>
        <v>0.15730337078651685</v>
      </c>
    </row>
    <row r="8" spans="1:3" x14ac:dyDescent="0.25">
      <c r="A8" t="s">
        <v>758</v>
      </c>
      <c r="B8">
        <v>18</v>
      </c>
      <c r="C8">
        <f t="shared" si="0"/>
        <v>0.20224719101123595</v>
      </c>
    </row>
    <row r="9" spans="1:3" x14ac:dyDescent="0.25">
      <c r="A9" t="s">
        <v>759</v>
      </c>
      <c r="B9">
        <v>18</v>
      </c>
      <c r="C9">
        <f t="shared" si="0"/>
        <v>0.20224719101123595</v>
      </c>
    </row>
    <row r="10" spans="1:3" x14ac:dyDescent="0.25">
      <c r="A10" t="s">
        <v>158</v>
      </c>
      <c r="B10">
        <v>27</v>
      </c>
      <c r="C10">
        <f t="shared" si="0"/>
        <v>0.30337078651685395</v>
      </c>
    </row>
    <row r="11" spans="1:3" x14ac:dyDescent="0.25">
      <c r="A11" t="s">
        <v>751</v>
      </c>
      <c r="B11">
        <v>29</v>
      </c>
      <c r="C11">
        <f t="shared" si="0"/>
        <v>0.3258426966292135</v>
      </c>
    </row>
    <row r="12" spans="1:3" x14ac:dyDescent="0.25">
      <c r="A12" t="s">
        <v>760</v>
      </c>
      <c r="B12">
        <v>34</v>
      </c>
      <c r="C12">
        <f t="shared" si="0"/>
        <v>0.38202247191011235</v>
      </c>
    </row>
    <row r="13" spans="1:3" x14ac:dyDescent="0.25">
      <c r="A13" t="s">
        <v>761</v>
      </c>
      <c r="B13">
        <v>50</v>
      </c>
      <c r="C13">
        <f t="shared" si="0"/>
        <v>0.5617977528089888</v>
      </c>
    </row>
    <row r="14" spans="1:3" x14ac:dyDescent="0.25">
      <c r="A14" t="s">
        <v>762</v>
      </c>
      <c r="B14">
        <v>65</v>
      </c>
      <c r="C14">
        <f t="shared" si="0"/>
        <v>0.7303370786516854</v>
      </c>
    </row>
    <row r="16" spans="1:3" x14ac:dyDescent="0.25">
      <c r="B16">
        <f>89-14</f>
        <v>75</v>
      </c>
    </row>
    <row r="17" spans="2:2" x14ac:dyDescent="0.25">
      <c r="B17">
        <f>75/89</f>
        <v>0.84269662921348309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87224-5BE0-4A31-9A8A-B13F915CD0B5}">
  <dimension ref="A1:C15"/>
  <sheetViews>
    <sheetView workbookViewId="0">
      <selection activeCell="F16" sqref="F16"/>
    </sheetView>
  </sheetViews>
  <sheetFormatPr defaultRowHeight="15" x14ac:dyDescent="0.25"/>
  <cols>
    <col min="1" max="1" width="17.7109375" bestFit="1" customWidth="1"/>
  </cols>
  <sheetData>
    <row r="1" spans="1:3" x14ac:dyDescent="0.25">
      <c r="A1" s="2" t="s">
        <v>750</v>
      </c>
      <c r="B1" s="2" t="s">
        <v>751</v>
      </c>
    </row>
    <row r="2" spans="1:3" x14ac:dyDescent="0.25">
      <c r="A2" t="s">
        <v>763</v>
      </c>
      <c r="B2">
        <v>1</v>
      </c>
      <c r="C2">
        <f>B2/89</f>
        <v>1.1235955056179775E-2</v>
      </c>
    </row>
    <row r="3" spans="1:3" x14ac:dyDescent="0.25">
      <c r="A3" t="s">
        <v>764</v>
      </c>
      <c r="B3">
        <v>1</v>
      </c>
      <c r="C3">
        <f t="shared" ref="C3:C15" si="0">B3/89</f>
        <v>1.1235955056179775E-2</v>
      </c>
    </row>
    <row r="4" spans="1:3" x14ac:dyDescent="0.25">
      <c r="A4" t="s">
        <v>765</v>
      </c>
      <c r="B4">
        <v>2</v>
      </c>
      <c r="C4">
        <f t="shared" si="0"/>
        <v>2.247191011235955E-2</v>
      </c>
    </row>
    <row r="5" spans="1:3" x14ac:dyDescent="0.25">
      <c r="A5" t="s">
        <v>766</v>
      </c>
      <c r="B5">
        <v>3</v>
      </c>
      <c r="C5">
        <f t="shared" si="0"/>
        <v>3.3707865168539325E-2</v>
      </c>
    </row>
    <row r="6" spans="1:3" x14ac:dyDescent="0.25">
      <c r="A6" t="s">
        <v>767</v>
      </c>
      <c r="B6">
        <v>3</v>
      </c>
      <c r="C6">
        <f t="shared" si="0"/>
        <v>3.3707865168539325E-2</v>
      </c>
    </row>
    <row r="7" spans="1:3" x14ac:dyDescent="0.25">
      <c r="A7" t="s">
        <v>768</v>
      </c>
      <c r="B7">
        <v>6</v>
      </c>
      <c r="C7">
        <f t="shared" si="0"/>
        <v>6.741573033707865E-2</v>
      </c>
    </row>
    <row r="8" spans="1:3" x14ac:dyDescent="0.25">
      <c r="A8" t="s">
        <v>44</v>
      </c>
      <c r="B8">
        <v>6</v>
      </c>
      <c r="C8">
        <f t="shared" si="0"/>
        <v>6.741573033707865E-2</v>
      </c>
    </row>
    <row r="9" spans="1:3" x14ac:dyDescent="0.25">
      <c r="A9" t="s">
        <v>769</v>
      </c>
      <c r="B9">
        <v>9</v>
      </c>
      <c r="C9">
        <f t="shared" si="0"/>
        <v>0.10112359550561797</v>
      </c>
    </row>
    <row r="10" spans="1:3" x14ac:dyDescent="0.25">
      <c r="A10" t="s">
        <v>26</v>
      </c>
      <c r="B10">
        <v>12</v>
      </c>
      <c r="C10">
        <f t="shared" si="0"/>
        <v>0.1348314606741573</v>
      </c>
    </row>
    <row r="11" spans="1:3" x14ac:dyDescent="0.25">
      <c r="A11" t="s">
        <v>770</v>
      </c>
      <c r="B11">
        <v>14</v>
      </c>
      <c r="C11">
        <f t="shared" si="0"/>
        <v>0.15730337078651685</v>
      </c>
    </row>
    <row r="12" spans="1:3" x14ac:dyDescent="0.25">
      <c r="A12" t="s">
        <v>38</v>
      </c>
      <c r="B12">
        <v>14</v>
      </c>
      <c r="C12">
        <f t="shared" si="0"/>
        <v>0.15730337078651685</v>
      </c>
    </row>
    <row r="13" spans="1:3" x14ac:dyDescent="0.25">
      <c r="A13" t="s">
        <v>771</v>
      </c>
      <c r="B13">
        <f>89-SUM(B2:B12)</f>
        <v>18</v>
      </c>
      <c r="C13">
        <f t="shared" si="0"/>
        <v>0.20224719101123595</v>
      </c>
    </row>
    <row r="15" spans="1:3" x14ac:dyDescent="0.25">
      <c r="B15">
        <f>89-B13</f>
        <v>71</v>
      </c>
      <c r="C15">
        <f t="shared" si="0"/>
        <v>0.797752808988764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Fig2 Data</vt:lpstr>
      <vt:lpstr>FigS1 Data</vt:lpstr>
      <vt:lpstr>Datasets_Mod_Cell_SS</vt:lpstr>
      <vt:lpstr>Fig3A Data</vt:lpstr>
      <vt:lpstr>Fig3B Data</vt:lpstr>
      <vt:lpstr>Fig4 Data</vt:lpstr>
      <vt:lpstr>Table 1. </vt:lpstr>
      <vt:lpstr>Datasets_Organelles</vt:lpstr>
      <vt:lpstr>Fig5AC Data</vt:lpstr>
      <vt:lpstr>Fig5B Data</vt:lpstr>
      <vt:lpstr>QuantAnalysis_Comparators</vt:lpstr>
      <vt:lpstr>Fig6A Data</vt:lpstr>
      <vt:lpstr>Fig6B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</dc:creator>
  <cp:lastModifiedBy>Mary Mirvis</cp:lastModifiedBy>
  <dcterms:created xsi:type="dcterms:W3CDTF">2024-09-17T20:27:48Z</dcterms:created>
  <dcterms:modified xsi:type="dcterms:W3CDTF">2025-02-26T20:57:04Z</dcterms:modified>
</cp:coreProperties>
</file>